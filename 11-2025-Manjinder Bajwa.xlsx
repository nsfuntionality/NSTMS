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aransingh/Downloads/"/>
    </mc:Choice>
  </mc:AlternateContent>
  <xr:revisionPtr revIDLastSave="1237" documentId="13_ncr:1_{1344B106-3534-3149-9552-1793BDB4FC3A}" xr6:coauthVersionLast="47" xr6:coauthVersionMax="47" xr10:uidLastSave="{0011056A-DC18-414B-A95C-91C6D7637C37}"/>
  <bookViews>
    <workbookView xWindow="0" yWindow="500" windowWidth="51200" windowHeight="28300" firstSheet="3" activeTab="3" xr2:uid="{EF598869-75C6-8144-8133-EA57DA6F114A}"/>
  </bookViews>
  <sheets>
    <sheet name="Fuel" sheetId="1" r:id="rId1"/>
    <sheet name="Toll" sheetId="2" r:id="rId2"/>
    <sheet name="Loads" sheetId="3" r:id="rId3"/>
    <sheet name="Report Date - Da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4" l="1"/>
  <c r="O27" i="4"/>
  <c r="O28" i="4"/>
  <c r="O29" i="4"/>
  <c r="O30" i="4"/>
  <c r="O25" i="4"/>
  <c r="U34" i="4"/>
  <c r="V34" i="4"/>
  <c r="U35" i="4"/>
  <c r="V35" i="4"/>
  <c r="U36" i="4"/>
  <c r="V36" i="4"/>
  <c r="U37" i="4"/>
  <c r="V37" i="4"/>
  <c r="U38" i="4"/>
  <c r="V38" i="4"/>
  <c r="U39" i="4"/>
  <c r="V39" i="4"/>
  <c r="U40" i="4"/>
  <c r="V40" i="4"/>
  <c r="U41" i="4"/>
  <c r="V41" i="4"/>
  <c r="U42" i="4"/>
  <c r="V42" i="4"/>
  <c r="U43" i="4"/>
  <c r="V43" i="4"/>
  <c r="U44" i="4"/>
  <c r="V44" i="4"/>
  <c r="U45" i="4"/>
  <c r="V45" i="4"/>
  <c r="U46" i="4"/>
  <c r="V46" i="4"/>
  <c r="U47" i="4"/>
  <c r="V47" i="4"/>
  <c r="U48" i="4"/>
  <c r="V48" i="4"/>
  <c r="U49" i="4"/>
  <c r="V49" i="4"/>
  <c r="U50" i="4"/>
  <c r="V50" i="4"/>
  <c r="U51" i="4"/>
  <c r="V51" i="4"/>
  <c r="U52" i="4"/>
  <c r="V52" i="4"/>
  <c r="U53" i="4"/>
  <c r="V53" i="4"/>
  <c r="U54" i="4"/>
  <c r="V54" i="4"/>
  <c r="U20" i="4"/>
  <c r="V20" i="4"/>
  <c r="U21" i="4"/>
  <c r="V21" i="4"/>
  <c r="U22" i="4"/>
  <c r="V22" i="4"/>
  <c r="U23" i="4"/>
  <c r="V23" i="4"/>
  <c r="U24" i="4"/>
  <c r="V24" i="4"/>
  <c r="U25" i="4"/>
  <c r="V25" i="4"/>
  <c r="U26" i="4"/>
  <c r="V26" i="4"/>
  <c r="U27" i="4"/>
  <c r="V27" i="4"/>
  <c r="U28" i="4"/>
  <c r="V28" i="4"/>
  <c r="U29" i="4"/>
  <c r="V29" i="4"/>
  <c r="U30" i="4"/>
  <c r="V30" i="4"/>
  <c r="U31" i="4"/>
  <c r="V31" i="4"/>
  <c r="U32" i="4"/>
  <c r="V32" i="4"/>
  <c r="U33" i="4"/>
  <c r="V33" i="4"/>
  <c r="V19" i="4"/>
  <c r="U19" i="4"/>
  <c r="V18" i="4"/>
  <c r="U18" i="4"/>
  <c r="G40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V17" i="4"/>
  <c r="U17" i="4"/>
  <c r="V16" i="4"/>
  <c r="U16" i="4"/>
  <c r="O16" i="4"/>
  <c r="K16" i="4"/>
  <c r="D16" i="4"/>
  <c r="A22" i="4" s="1"/>
  <c r="V15" i="4"/>
  <c r="U15" i="4"/>
  <c r="V14" i="4"/>
  <c r="U14" i="4"/>
  <c r="V13" i="4"/>
  <c r="U13" i="4"/>
  <c r="V12" i="4"/>
  <c r="U12" i="4"/>
  <c r="V11" i="4"/>
  <c r="U11" i="4"/>
  <c r="V10" i="4"/>
  <c r="U10" i="4"/>
  <c r="K9" i="4"/>
  <c r="K8" i="4"/>
  <c r="H4" i="3"/>
  <c r="H2" i="3"/>
  <c r="P6" i="1"/>
  <c r="F24" i="4" l="1"/>
  <c r="F25" i="4" s="1"/>
  <c r="M16" i="4"/>
  <c r="F26" i="4" l="1"/>
  <c r="F27" i="4" l="1"/>
  <c r="F28" i="4" l="1"/>
  <c r="F29" i="4" l="1"/>
  <c r="F30" i="4" l="1"/>
  <c r="O31" i="4"/>
  <c r="M19" i="4" s="1"/>
  <c r="M20" i="4" s="1"/>
  <c r="K10" i="4" s="1"/>
</calcChain>
</file>

<file path=xl/sharedStrings.xml><?xml version="1.0" encoding="utf-8"?>
<sst xmlns="http://schemas.openxmlformats.org/spreadsheetml/2006/main" count="656" uniqueCount="262">
  <si>
    <t>Transaction Report</t>
  </si>
  <si>
    <t>Carrier:</t>
  </si>
  <si>
    <t>KHALSA LOGISTICS LLC</t>
  </si>
  <si>
    <t>Start Date:</t>
  </si>
  <si>
    <t>End Date:</t>
  </si>
  <si>
    <t>Carrier Id:</t>
  </si>
  <si>
    <t>Contract Id:</t>
  </si>
  <si>
    <t>All</t>
  </si>
  <si>
    <t xml:space="preserve">Group by: </t>
  </si>
  <si>
    <t>Card Number</t>
  </si>
  <si>
    <t>Sort by:</t>
  </si>
  <si>
    <t>Transaction Date</t>
  </si>
  <si>
    <t>Total Records:</t>
  </si>
  <si>
    <t>Card #</t>
  </si>
  <si>
    <t>Tran Date</t>
  </si>
  <si>
    <t>trans. Time</t>
  </si>
  <si>
    <t>Invoice</t>
  </si>
  <si>
    <t>Unit</t>
  </si>
  <si>
    <t>Driver Name</t>
  </si>
  <si>
    <t>Odometer</t>
  </si>
  <si>
    <t>Location Name</t>
  </si>
  <si>
    <t>City</t>
  </si>
  <si>
    <t>State/ Prov</t>
  </si>
  <si>
    <t>Fees</t>
  </si>
  <si>
    <t>Item</t>
  </si>
  <si>
    <t>Unit Price</t>
  </si>
  <si>
    <t>Qty</t>
  </si>
  <si>
    <t>Amt</t>
  </si>
  <si>
    <t>DB</t>
  </si>
  <si>
    <t>Currency</t>
  </si>
  <si>
    <t>MPL5046</t>
  </si>
  <si>
    <t>Manjinder Bajwa</t>
  </si>
  <si>
    <t>TA CHICAGO NORTH</t>
  </si>
  <si>
    <t>RUSSELL</t>
  </si>
  <si>
    <t>IL</t>
  </si>
  <si>
    <t>ULSD</t>
  </si>
  <si>
    <t>N</t>
  </si>
  <si>
    <t>USD/Gallons</t>
  </si>
  <si>
    <t>DEFD</t>
  </si>
  <si>
    <t>PETRO GREENSBURG</t>
  </si>
  <si>
    <t>GREENSBURG</t>
  </si>
  <si>
    <t>IN</t>
  </si>
  <si>
    <t>PETRO RACINE - FUEL 491</t>
  </si>
  <si>
    <t>STURTEVANT</t>
  </si>
  <si>
    <t>WI</t>
  </si>
  <si>
    <t>PETRO REMINGTON</t>
  </si>
  <si>
    <t>REMINGTON</t>
  </si>
  <si>
    <t>location is correct, but the log is in Off-Duty status</t>
  </si>
  <si>
    <t>Akal Trucking LLC</t>
  </si>
  <si>
    <t>Report Date: 12/01/2021</t>
  </si>
  <si>
    <t>10777 S CONNER WAY</t>
  </si>
  <si>
    <t>Transponder Number: 01510031725</t>
  </si>
  <si>
    <t>OAK CREEK WI 53154</t>
  </si>
  <si>
    <t>Truck: 2004</t>
  </si>
  <si>
    <t>Fax / Email:    swaransingh274@gmail.com</t>
  </si>
  <si>
    <t>Transaction Type</t>
  </si>
  <si>
    <t>Location</t>
  </si>
  <si>
    <t>Transponder</t>
  </si>
  <si>
    <t>License Plate</t>
  </si>
  <si>
    <t>Amount</t>
  </si>
  <si>
    <t>Agency</t>
  </si>
  <si>
    <t>Posting Date</t>
  </si>
  <si>
    <t>Running Balance</t>
  </si>
  <si>
    <t>Khalsa Logistics LLC</t>
  </si>
  <si>
    <t>3039 W 6 1/2 MILE RD, SUITE 100</t>
  </si>
  <si>
    <t>Carrier Number: 1699</t>
  </si>
  <si>
    <t>CALEDONIA, WI 53108</t>
  </si>
  <si>
    <t>UNITED STATES</t>
  </si>
  <si>
    <t>Fax / Email:    khalsalogisticsllc@gmail.com</t>
  </si>
  <si>
    <t>InvoiceID</t>
  </si>
  <si>
    <t>Load #</t>
  </si>
  <si>
    <t>Broker</t>
  </si>
  <si>
    <t>Pick Date</t>
  </si>
  <si>
    <t>Pickup</t>
  </si>
  <si>
    <t>Drop Date</t>
  </si>
  <si>
    <t>Dropoff</t>
  </si>
  <si>
    <t>Driver</t>
  </si>
  <si>
    <t>TruckName</t>
  </si>
  <si>
    <t>Trailer</t>
  </si>
  <si>
    <t>Shipping ID</t>
  </si>
  <si>
    <t>Pickup Datetime</t>
  </si>
  <si>
    <t>Delivery Datetime</t>
  </si>
  <si>
    <t>Notes</t>
  </si>
  <si>
    <t>KLL56230</t>
  </si>
  <si>
    <t>Avenger Logistics Llc</t>
  </si>
  <si>
    <t>Sharonville, OH 45241</t>
  </si>
  <si>
    <t>Sheboygan, WI 53081</t>
  </si>
  <si>
    <t>MPL1016</t>
  </si>
  <si>
    <t>PU 10/31 | Time 03PM</t>
  </si>
  <si>
    <t>DO 11/03 | Local Miles</t>
  </si>
  <si>
    <t>KLL56375</t>
  </si>
  <si>
    <t>Missing Shiping id and trailer no. on Eld</t>
  </si>
  <si>
    <t>PU 11/03 | Local Miles</t>
  </si>
  <si>
    <t xml:space="preserve">DO 11/03 | Time 02PM </t>
  </si>
  <si>
    <t>KLL56376</t>
  </si>
  <si>
    <t>MPL1008</t>
  </si>
  <si>
    <t xml:space="preserve">PU 11/03 | Time 02PM </t>
  </si>
  <si>
    <t>DO 11/04 | Local Miles</t>
  </si>
  <si>
    <t>KLL56397</t>
  </si>
  <si>
    <t>PU 11/04 | Local Miles</t>
  </si>
  <si>
    <t xml:space="preserve">DO 11/04 | Time 07PM </t>
  </si>
  <si>
    <t>Wrong Shiping id and trailer no. on Eld</t>
  </si>
  <si>
    <t>KLL56398</t>
  </si>
  <si>
    <t>Manjinder Bajwa / Rohit Kumar</t>
  </si>
  <si>
    <t>MPL1015</t>
  </si>
  <si>
    <t xml:space="preserve">PU 11/04 | Time 07PM </t>
  </si>
  <si>
    <t>DO 11/06 | Local Driver</t>
  </si>
  <si>
    <t>KLL56419</t>
  </si>
  <si>
    <t>MPL1002</t>
  </si>
  <si>
    <t>PU 11/06 | Local Driver</t>
  </si>
  <si>
    <t xml:space="preserve">DO 11/06 | Time 02PM </t>
  </si>
  <si>
    <t>KLL56420</t>
  </si>
  <si>
    <t>MPL1047</t>
  </si>
  <si>
    <t xml:space="preserve">PU 11/06 | Time 02PM </t>
  </si>
  <si>
    <t>DO 11/07 | Local Miles</t>
  </si>
  <si>
    <t>KLL56451</t>
  </si>
  <si>
    <t>Manjinder Bajwa / Vikas Saini</t>
  </si>
  <si>
    <t>MPL1018</t>
  </si>
  <si>
    <t>PU 11/08 | Local Driver</t>
  </si>
  <si>
    <t xml:space="preserve">DO 11/08 | Time 03PM </t>
  </si>
  <si>
    <t>KLL56452</t>
  </si>
  <si>
    <t xml:space="preserve">PU 11/08 | Time 03PM </t>
  </si>
  <si>
    <t>DO 11/10 | Local Miles</t>
  </si>
  <si>
    <t>KLL56568</t>
  </si>
  <si>
    <t>PU 11/10 | Local Miles</t>
  </si>
  <si>
    <t xml:space="preserve">DO 11/11 | Time 03AM </t>
  </si>
  <si>
    <t>KLL56569</t>
  </si>
  <si>
    <t>MPL1011</t>
  </si>
  <si>
    <t xml:space="preserve">PU 11/11 | Time 03AM </t>
  </si>
  <si>
    <t>DO 11/12 | Local Miles</t>
  </si>
  <si>
    <t>KLL56588</t>
  </si>
  <si>
    <t>PU 11/12 | Local Miles</t>
  </si>
  <si>
    <t xml:space="preserve">DO 11/12 | Time 11PM </t>
  </si>
  <si>
    <t>KLL56589</t>
  </si>
  <si>
    <t>Manjinder Bajwa / Baljit Singh</t>
  </si>
  <si>
    <t xml:space="preserve">PU 11/12 | Time 11PM </t>
  </si>
  <si>
    <t>DO 11/13 | Local Driver</t>
  </si>
  <si>
    <t>KLL56604</t>
  </si>
  <si>
    <t>MPL1014</t>
  </si>
  <si>
    <t>Wrong trailer no. on Eld</t>
  </si>
  <si>
    <t>PU 11/13 | Local Driver</t>
  </si>
  <si>
    <t xml:space="preserve">DO 11/13 | Time 11PM </t>
  </si>
  <si>
    <t>KLL56605</t>
  </si>
  <si>
    <t>Manjinder Bajwa / Nikhal Panday</t>
  </si>
  <si>
    <t>MPL1004</t>
  </si>
  <si>
    <t xml:space="preserve">PU 11/13 | Time 11PM </t>
  </si>
  <si>
    <t>DO 11/14 | Local Miles</t>
  </si>
  <si>
    <t>Wrong Shiping id on Eld</t>
  </si>
  <si>
    <t>KLL56628</t>
  </si>
  <si>
    <t>PU 11/14 | Local Miles</t>
  </si>
  <si>
    <t>DO 11/15 | Time 02AM</t>
  </si>
  <si>
    <t>KLL56629</t>
  </si>
  <si>
    <t>MPL1027</t>
  </si>
  <si>
    <t>PU 11/15 | Time 02AM</t>
  </si>
  <si>
    <t xml:space="preserve">DO 11/16 | Local Driver </t>
  </si>
  <si>
    <t>Need to recheck Local Driver</t>
  </si>
  <si>
    <t>KLL56756</t>
  </si>
  <si>
    <t>MPL1023</t>
  </si>
  <si>
    <t>PU 11/17 | Local Miles</t>
  </si>
  <si>
    <t>DO 11/17 | Time 06PM</t>
  </si>
  <si>
    <t>KLL56757</t>
  </si>
  <si>
    <t>PU 11/17 | Time 06PM</t>
  </si>
  <si>
    <t>DO 11/18 | Local Miles</t>
  </si>
  <si>
    <t>KLL56776</t>
  </si>
  <si>
    <t>PU 11/18 | Local Miles</t>
  </si>
  <si>
    <t>DO 11/18 | Time 09PM</t>
  </si>
  <si>
    <t>KLL56777</t>
  </si>
  <si>
    <t>PU 11/18 | Time 09PM</t>
  </si>
  <si>
    <t>DO 11/19 | Local Miles</t>
  </si>
  <si>
    <t>KLL56796</t>
  </si>
  <si>
    <t>PU 11/19 | Local Miles</t>
  </si>
  <si>
    <t>DO 11/20 | Time 11AM</t>
  </si>
  <si>
    <t>KLL56797</t>
  </si>
  <si>
    <t>PU 11/20 | Time 11AM</t>
  </si>
  <si>
    <t>DO 11/20 | Local Driver</t>
  </si>
  <si>
    <t>Needs to recheck*</t>
  </si>
  <si>
    <t>KLL56812</t>
  </si>
  <si>
    <t>PU 11/20 | Local Driver</t>
  </si>
  <si>
    <t>DO 11/21 | Time 01PM</t>
  </si>
  <si>
    <t>KLL56813</t>
  </si>
  <si>
    <t>PU 11/21 | Time 01PM</t>
  </si>
  <si>
    <t>DO 11/23 | Local Miles</t>
  </si>
  <si>
    <t>KLL56936</t>
  </si>
  <si>
    <t>MPL1009</t>
  </si>
  <si>
    <t>PU 11/23 | Local Driver</t>
  </si>
  <si>
    <t>DO 11/24 | Time 01AM</t>
  </si>
  <si>
    <t>KLL56937</t>
  </si>
  <si>
    <t>MPL1026</t>
  </si>
  <si>
    <t>PU 11/24 | Time 01AM</t>
  </si>
  <si>
    <t>DO 11/24 | Local Miles</t>
  </si>
  <si>
    <t>KLL56956</t>
  </si>
  <si>
    <t>PU 11/24 | Local Miles</t>
  </si>
  <si>
    <t>DO 11/25 | Time 04AM</t>
  </si>
  <si>
    <t>KLL56957</t>
  </si>
  <si>
    <t>PU 11/25 | Time 04AM</t>
  </si>
  <si>
    <t>DO 11/27 | Local Miles</t>
  </si>
  <si>
    <t>KLL56978</t>
  </si>
  <si>
    <t>PU 11/27 | Local Miles</t>
  </si>
  <si>
    <t>DO 11/28 | Time 10PM</t>
  </si>
  <si>
    <t>KLL56979</t>
  </si>
  <si>
    <t>PU 11/28 | Time 10PM</t>
  </si>
  <si>
    <t>DO 12/01 | Local Miles</t>
  </si>
  <si>
    <t>KLL56441</t>
  </si>
  <si>
    <t>PU 11/07 | Local Miles</t>
  </si>
  <si>
    <t>DO 11/07 | Time 03PM</t>
  </si>
  <si>
    <t>Load Transfer to SodhiTanvir Singh</t>
  </si>
  <si>
    <t>KLL56442</t>
  </si>
  <si>
    <t>MPL1005</t>
  </si>
  <si>
    <t>PU 11/07 | Time 03PM</t>
  </si>
  <si>
    <t>DO 11/08 | Local Driver</t>
  </si>
  <si>
    <t>KLL56638</t>
  </si>
  <si>
    <t>PU 11/16 | Local Driver</t>
  </si>
  <si>
    <t>DO 11/16 | Time 6PM</t>
  </si>
  <si>
    <t>Book Transfer to Vikas Saini</t>
  </si>
  <si>
    <t>KLL56639</t>
  </si>
  <si>
    <t>PU 11/16 | Time 6PM</t>
  </si>
  <si>
    <t>DO 11/17 | Local Miles</t>
  </si>
  <si>
    <t>Earning Report</t>
  </si>
  <si>
    <t>Driver:</t>
  </si>
  <si>
    <t>Start Month:</t>
  </si>
  <si>
    <t>This Color = We need to get the Mile Fixed in the ELD</t>
  </si>
  <si>
    <t>This Color = Local / Missing Miles Per Day (Maybe Transfer)</t>
  </si>
  <si>
    <t>Miles Per Day</t>
  </si>
  <si>
    <t>Local/Missing</t>
  </si>
  <si>
    <t>Date</t>
  </si>
  <si>
    <t>Start Odo</t>
  </si>
  <si>
    <t>End Odo</t>
  </si>
  <si>
    <t>Total Mile</t>
  </si>
  <si>
    <t>Missing Miles</t>
  </si>
  <si>
    <t>Details: local trip, Shipping ID/Trailer, ELD Transfer</t>
  </si>
  <si>
    <t>Maybe book transfer to someone*Re-check with Sukhi Sir*</t>
  </si>
  <si>
    <t>shipping ID should be 580988, 6851123, 581331</t>
  </si>
  <si>
    <t>Owner Opt</t>
  </si>
  <si>
    <t>SSN</t>
  </si>
  <si>
    <t>Driver Cent</t>
  </si>
  <si>
    <t>Pay Period</t>
  </si>
  <si>
    <t>Pay Date</t>
  </si>
  <si>
    <t>XXX-XX-XXXX</t>
  </si>
  <si>
    <t>-</t>
  </si>
  <si>
    <t xml:space="preserve">Weekly Report </t>
  </si>
  <si>
    <t xml:space="preserve">Weekly Gross </t>
  </si>
  <si>
    <t>Weekly Report</t>
  </si>
  <si>
    <t>Book transfer to -- SodhiTanvir Singh</t>
  </si>
  <si>
    <t>Report Name</t>
  </si>
  <si>
    <t>Driver ID</t>
  </si>
  <si>
    <t>State</t>
  </si>
  <si>
    <t xml:space="preserve">Miles </t>
  </si>
  <si>
    <t>Use Truck - 5046</t>
  </si>
  <si>
    <t>shipping ID should be 582017, 6851294</t>
  </si>
  <si>
    <t>Trailer No. should be MPL1018, MPL1014, MPL1004</t>
  </si>
  <si>
    <t>shipping ID should be 582677, 6851389</t>
  </si>
  <si>
    <t>Total</t>
  </si>
  <si>
    <t>Driver Behavior Information</t>
  </si>
  <si>
    <t>Type</t>
  </si>
  <si>
    <t xml:space="preserve">Driver </t>
  </si>
  <si>
    <t>Points</t>
  </si>
  <si>
    <t>Book transfer to -- Vikas Saini*</t>
  </si>
  <si>
    <t>Trailer No. should be MPL1011, MPL1009</t>
  </si>
  <si>
    <t>If you have any question,please feel free to reach out to 1-800-811-7308 or email at Khalsalogisticsllc@gmail.com.</t>
  </si>
  <si>
    <t>copyright © 2025 Khalsa Logistics LLC.</t>
  </si>
  <si>
    <t>shipping ID should be 584150, 6851664</t>
  </si>
  <si>
    <t>shipping ID should be 6851664, 584829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</si>
</sst>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2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</font>
    <font>
      <b/>
      <sz val="12"/>
      <color rgb="FFFFFFFF"/>
      <name val="Arial"/>
    </font>
    <font>
      <sz val="16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rgb="FF92D050"/>
      <name val="Calibri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4"/>
      <color theme="1"/>
      <name val="Calibri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00B0F0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sz val="12"/>
      <color rgb="FF000000"/>
      <name val="Calibri"/>
    </font>
    <font>
      <sz val="11"/>
      <color rgb="FF000000"/>
      <name val="Arial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1" xfId="1" applyFont="1" applyBorder="1"/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4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/>
    <xf numFmtId="14" fontId="0" fillId="0" borderId="0" xfId="0" applyNumberFormat="1"/>
    <xf numFmtId="0" fontId="9" fillId="2" borderId="0" xfId="0" applyFont="1" applyFill="1"/>
    <xf numFmtId="0" fontId="9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1" fillId="0" borderId="0" xfId="0" applyFont="1"/>
    <xf numFmtId="0" fontId="1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0" fillId="4" borderId="0" xfId="0" applyFill="1"/>
    <xf numFmtId="0" fontId="15" fillId="0" borderId="0" xfId="0" applyFont="1" applyAlignment="1">
      <alignment horizontal="center"/>
    </xf>
    <xf numFmtId="0" fontId="18" fillId="0" borderId="0" xfId="0" applyFont="1"/>
    <xf numFmtId="0" fontId="19" fillId="5" borderId="0" xfId="0" applyFont="1" applyFill="1" applyAlignment="1">
      <alignment vertical="center" wrapText="1"/>
    </xf>
    <xf numFmtId="0" fontId="20" fillId="0" borderId="0" xfId="0" applyFont="1"/>
    <xf numFmtId="1" fontId="3" fillId="0" borderId="5" xfId="0" applyNumberFormat="1" applyFont="1" applyBorder="1" applyAlignment="1">
      <alignment horizontal="left" vertical="center"/>
    </xf>
    <xf numFmtId="14" fontId="9" fillId="6" borderId="0" xfId="0" applyNumberFormat="1" applyFont="1" applyFill="1" applyAlignment="1">
      <alignment horizontal="right"/>
    </xf>
    <xf numFmtId="0" fontId="0" fillId="6" borderId="0" xfId="0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15" fillId="0" borderId="0" xfId="0" applyFont="1" applyAlignment="1">
      <alignment horizontal="left"/>
    </xf>
    <xf numFmtId="14" fontId="14" fillId="2" borderId="0" xfId="0" applyNumberFormat="1" applyFont="1" applyFill="1"/>
    <xf numFmtId="8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0" fontId="14" fillId="0" borderId="0" xfId="0" applyFont="1"/>
    <xf numFmtId="8" fontId="0" fillId="0" borderId="0" xfId="0" applyNumberForma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/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17" fillId="0" borderId="0" xfId="0" applyFont="1"/>
    <xf numFmtId="164" fontId="0" fillId="0" borderId="0" xfId="0" applyNumberFormat="1"/>
    <xf numFmtId="164" fontId="16" fillId="0" borderId="0" xfId="0" applyNumberFormat="1" applyFont="1"/>
    <xf numFmtId="0" fontId="15" fillId="0" borderId="0" xfId="0" applyFont="1"/>
    <xf numFmtId="0" fontId="0" fillId="0" borderId="0" xfId="0" applyAlignment="1">
      <alignment vertical="top" wrapText="1"/>
    </xf>
    <xf numFmtId="0" fontId="0" fillId="7" borderId="0" xfId="0" applyFill="1"/>
    <xf numFmtId="18" fontId="0" fillId="0" borderId="2" xfId="0" applyNumberFormat="1" applyBorder="1" applyAlignment="1">
      <alignment horizontal="left"/>
    </xf>
    <xf numFmtId="18" fontId="0" fillId="0" borderId="0" xfId="0" applyNumberFormat="1" applyAlignment="1">
      <alignment horizontal="left"/>
    </xf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164" fontId="16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17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14" fillId="2" borderId="0" xfId="0" applyFont="1" applyFill="1" applyAlignment="1">
      <alignment horizontal="center"/>
    </xf>
  </cellXfs>
  <cellStyles count="2">
    <cellStyle name="Normal" xfId="0" builtinId="0"/>
    <cellStyle name="Normal 2" xfId="1" xr:uid="{89D2AABD-354F-7C44-A516-A0CCEABB5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393700</xdr:colOff>
      <xdr:row>1</xdr:row>
      <xdr:rowOff>21365</xdr:rowOff>
    </xdr:from>
    <xdr:to>
      <xdr:col>0</xdr:col>
      <xdr:colOff>1064470</xdr:colOff>
      <xdr:row>4</xdr:row>
      <xdr:rowOff>63501</xdr:rowOff>
    </xdr:to>
    <xdr:pic>
      <xdr:nvPicPr>
        <xdr:cNvPr id="2" name="Picture 1" descr="Ipass Logo - LogoDix">
          <a:extLst>
            <a:ext uri="{FF2B5EF4-FFF2-40B4-BE49-F238E27FC236}">
              <a16:creationId xmlns:a16="http://schemas.microsoft.com/office/drawing/2014/main" id="{3FD95561-29D9-9945-999A-972025BA2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224565"/>
          <a:ext cx="670770" cy="651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123825</xdr:rowOff>
    </xdr:from>
    <xdr:to>
      <xdr:col>1</xdr:col>
      <xdr:colOff>1066800</xdr:colOff>
      <xdr:row>5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41881-F530-492D-B667-6EBEACD4E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23850"/>
          <a:ext cx="800100" cy="771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6</xdr:row>
      <xdr:rowOff>171450</xdr:rowOff>
    </xdr:from>
    <xdr:to>
      <xdr:col>1</xdr:col>
      <xdr:colOff>657225</xdr:colOff>
      <xdr:row>9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C8E030-FFF0-4387-AEAC-F63B544F4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438275"/>
          <a:ext cx="70485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1C63-0153-A048-914B-A3F51E5A810F}">
  <dimension ref="A1:V30"/>
  <sheetViews>
    <sheetView workbookViewId="0">
      <selection activeCell="S23" sqref="S23"/>
    </sheetView>
  </sheetViews>
  <sheetFormatPr defaultColWidth="11" defaultRowHeight="15.75" customHeight="1"/>
  <cols>
    <col min="1" max="1" width="9.5" bestFit="1" customWidth="1"/>
    <col min="2" max="2" width="17.625" bestFit="1" customWidth="1"/>
    <col min="3" max="3" width="13.5" customWidth="1"/>
    <col min="4" max="4" width="8.125" bestFit="1" customWidth="1"/>
    <col min="5" max="5" width="9.25" customWidth="1"/>
    <col min="6" max="6" width="15.875" customWidth="1"/>
    <col min="7" max="7" width="14.875" bestFit="1" customWidth="1"/>
    <col min="8" max="8" width="17.875" bestFit="1" customWidth="1"/>
    <col min="9" max="9" width="12.75" bestFit="1" customWidth="1"/>
    <col min="10" max="10" width="11.75" bestFit="1" customWidth="1"/>
    <col min="11" max="11" width="7.125" bestFit="1" customWidth="1"/>
    <col min="12" max="12" width="5.375" bestFit="1" customWidth="1"/>
    <col min="13" max="13" width="10.625" bestFit="1" customWidth="1"/>
    <col min="14" max="14" width="7" bestFit="1" customWidth="1"/>
    <col min="15" max="15" width="12.625" bestFit="1" customWidth="1"/>
    <col min="16" max="16" width="4.125" bestFit="1" customWidth="1"/>
    <col min="17" max="17" width="11.25" bestFit="1" customWidth="1"/>
    <col min="23" max="23" width="12.75" customWidth="1"/>
  </cols>
  <sheetData>
    <row r="1" spans="1:17"/>
    <row r="2" spans="1:17"/>
    <row r="3" spans="1:17" ht="26.25">
      <c r="A3" s="69" t="s">
        <v>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/>
    <row r="5" spans="1:17" s="7" customFormat="1">
      <c r="A5" s="8" t="s">
        <v>1</v>
      </c>
      <c r="B5" s="5" t="s">
        <v>2</v>
      </c>
      <c r="C5" s="5"/>
      <c r="D5" s="5"/>
      <c r="E5" s="5"/>
      <c r="F5" s="8" t="s">
        <v>3</v>
      </c>
      <c r="G5" s="6">
        <v>45962</v>
      </c>
      <c r="H5" s="8" t="s">
        <v>4</v>
      </c>
      <c r="I5" s="6">
        <v>45991</v>
      </c>
      <c r="J5" s="8" t="s">
        <v>5</v>
      </c>
      <c r="K5" s="5">
        <v>719180</v>
      </c>
      <c r="L5" s="5"/>
      <c r="M5" s="5" t="s">
        <v>6</v>
      </c>
      <c r="N5" s="5" t="s">
        <v>7</v>
      </c>
      <c r="O5" s="5"/>
      <c r="P5" s="5"/>
      <c r="Q5" s="5"/>
    </row>
    <row r="6" spans="1:17" s="7" customFormat="1" ht="30.75" customHeight="1">
      <c r="A6" s="9" t="s">
        <v>8</v>
      </c>
      <c r="B6" s="7" t="s">
        <v>9</v>
      </c>
      <c r="F6" s="9" t="s">
        <v>10</v>
      </c>
      <c r="G6" s="7" t="s">
        <v>11</v>
      </c>
      <c r="O6" s="7" t="s">
        <v>12</v>
      </c>
      <c r="P6" s="7">
        <f>COUNT(A8:A70)</f>
        <v>23</v>
      </c>
    </row>
    <row r="7" spans="1:17" s="4" customFormat="1" ht="24.75" customHeight="1">
      <c r="A7" s="26" t="s">
        <v>13</v>
      </c>
      <c r="B7" s="27" t="s">
        <v>14</v>
      </c>
      <c r="C7" s="27" t="s">
        <v>15</v>
      </c>
      <c r="D7" s="27" t="s">
        <v>16</v>
      </c>
      <c r="E7" s="27" t="s">
        <v>17</v>
      </c>
      <c r="F7" s="27" t="s">
        <v>18</v>
      </c>
      <c r="G7" s="27" t="s">
        <v>19</v>
      </c>
      <c r="H7" s="27" t="s">
        <v>20</v>
      </c>
      <c r="I7" s="27" t="s">
        <v>21</v>
      </c>
      <c r="J7" s="27" t="s">
        <v>22</v>
      </c>
      <c r="K7" s="27" t="s">
        <v>23</v>
      </c>
      <c r="L7" s="27" t="s">
        <v>24</v>
      </c>
      <c r="M7" s="27" t="s">
        <v>25</v>
      </c>
      <c r="N7" s="27" t="s">
        <v>26</v>
      </c>
      <c r="O7" s="27" t="s">
        <v>27</v>
      </c>
      <c r="P7" s="27" t="s">
        <v>28</v>
      </c>
      <c r="Q7" s="28" t="s">
        <v>29</v>
      </c>
    </row>
    <row r="8" spans="1:17">
      <c r="A8" s="29">
        <v>959</v>
      </c>
      <c r="B8" s="30">
        <v>45964</v>
      </c>
      <c r="C8" s="65">
        <v>0.33888888888888891</v>
      </c>
      <c r="D8" s="29">
        <v>1570</v>
      </c>
      <c r="E8" s="29" t="s">
        <v>30</v>
      </c>
      <c r="F8" s="29" t="s">
        <v>31</v>
      </c>
      <c r="G8" s="29">
        <v>0</v>
      </c>
      <c r="H8" s="29" t="s">
        <v>32</v>
      </c>
      <c r="I8" s="29" t="s">
        <v>33</v>
      </c>
      <c r="J8" s="29" t="s">
        <v>34</v>
      </c>
      <c r="K8" s="29">
        <v>0</v>
      </c>
      <c r="L8" s="29" t="s">
        <v>35</v>
      </c>
      <c r="M8" s="29">
        <v>3.8119999999999998</v>
      </c>
      <c r="N8" s="29">
        <v>161.22999999999999</v>
      </c>
      <c r="O8" s="29">
        <v>614.61</v>
      </c>
      <c r="P8" s="29" t="s">
        <v>36</v>
      </c>
      <c r="Q8" s="29" t="s">
        <v>37</v>
      </c>
    </row>
    <row r="9" spans="1:17">
      <c r="A9" s="24">
        <v>959</v>
      </c>
      <c r="B9" s="25">
        <v>45964</v>
      </c>
      <c r="C9" s="66">
        <v>0.33888888888888891</v>
      </c>
      <c r="D9" s="24">
        <v>1570</v>
      </c>
      <c r="E9" s="24" t="s">
        <v>30</v>
      </c>
      <c r="F9" s="24" t="s">
        <v>31</v>
      </c>
      <c r="G9" s="24">
        <v>0</v>
      </c>
      <c r="H9" s="24" t="s">
        <v>32</v>
      </c>
      <c r="I9" s="24" t="s">
        <v>33</v>
      </c>
      <c r="J9" s="24" t="s">
        <v>34</v>
      </c>
      <c r="K9" s="24">
        <v>0</v>
      </c>
      <c r="L9" s="24" t="s">
        <v>38</v>
      </c>
      <c r="M9" s="24">
        <v>4.399</v>
      </c>
      <c r="N9" s="24">
        <v>15.14</v>
      </c>
      <c r="O9" s="24">
        <v>66.61</v>
      </c>
      <c r="P9" s="24" t="s">
        <v>36</v>
      </c>
      <c r="Q9" s="24" t="s">
        <v>37</v>
      </c>
    </row>
    <row r="10" spans="1:17">
      <c r="A10" s="24">
        <v>959</v>
      </c>
      <c r="B10" s="25">
        <v>45966</v>
      </c>
      <c r="C10" s="66">
        <v>0.32083333333333336</v>
      </c>
      <c r="D10" s="24">
        <v>38944</v>
      </c>
      <c r="E10" s="24" t="s">
        <v>30</v>
      </c>
      <c r="F10" s="24" t="s">
        <v>31</v>
      </c>
      <c r="G10" s="24">
        <v>0</v>
      </c>
      <c r="H10" s="24" t="s">
        <v>39</v>
      </c>
      <c r="I10" s="24" t="s">
        <v>40</v>
      </c>
      <c r="J10" s="24" t="s">
        <v>41</v>
      </c>
      <c r="K10" s="24">
        <v>0</v>
      </c>
      <c r="L10" s="24" t="s">
        <v>35</v>
      </c>
      <c r="M10" s="24">
        <v>3.6850000000000001</v>
      </c>
      <c r="N10" s="24">
        <v>161.65</v>
      </c>
      <c r="O10" s="24">
        <v>595.67999999999995</v>
      </c>
      <c r="P10" s="24" t="s">
        <v>36</v>
      </c>
      <c r="Q10" s="24" t="s">
        <v>37</v>
      </c>
    </row>
    <row r="11" spans="1:17">
      <c r="A11" s="24">
        <v>959</v>
      </c>
      <c r="B11" s="25">
        <v>45966</v>
      </c>
      <c r="C11" s="66">
        <v>0.32083333333333336</v>
      </c>
      <c r="D11" s="24">
        <v>38944</v>
      </c>
      <c r="E11" s="24" t="s">
        <v>30</v>
      </c>
      <c r="F11" s="24" t="s">
        <v>31</v>
      </c>
      <c r="G11" s="24">
        <v>0</v>
      </c>
      <c r="H11" s="24" t="s">
        <v>39</v>
      </c>
      <c r="I11" s="24" t="s">
        <v>40</v>
      </c>
      <c r="J11" s="24" t="s">
        <v>41</v>
      </c>
      <c r="K11" s="24">
        <v>0</v>
      </c>
      <c r="L11" s="24" t="s">
        <v>38</v>
      </c>
      <c r="M11" s="24">
        <v>4.399</v>
      </c>
      <c r="N11" s="24">
        <v>11.29</v>
      </c>
      <c r="O11" s="24">
        <v>49.66</v>
      </c>
      <c r="P11" s="24" t="s">
        <v>36</v>
      </c>
      <c r="Q11" s="24" t="s">
        <v>37</v>
      </c>
    </row>
    <row r="12" spans="1:17">
      <c r="A12" s="24">
        <v>959</v>
      </c>
      <c r="B12" s="25">
        <v>45968</v>
      </c>
      <c r="C12" s="66">
        <v>0.29166666666666669</v>
      </c>
      <c r="D12" s="24">
        <v>57250</v>
      </c>
      <c r="E12" s="24" t="s">
        <v>30</v>
      </c>
      <c r="F12" s="24" t="s">
        <v>31</v>
      </c>
      <c r="G12" s="24">
        <v>0</v>
      </c>
      <c r="H12" s="24" t="s">
        <v>42</v>
      </c>
      <c r="I12" s="24" t="s">
        <v>43</v>
      </c>
      <c r="J12" s="24" t="s">
        <v>44</v>
      </c>
      <c r="K12" s="24">
        <v>0</v>
      </c>
      <c r="L12" s="24" t="s">
        <v>35</v>
      </c>
      <c r="M12" s="24">
        <v>3.2770000000000001</v>
      </c>
      <c r="N12" s="24">
        <v>164.76</v>
      </c>
      <c r="O12" s="24">
        <v>539.91999999999996</v>
      </c>
      <c r="P12" s="24" t="s">
        <v>36</v>
      </c>
      <c r="Q12" s="24" t="s">
        <v>37</v>
      </c>
    </row>
    <row r="13" spans="1:17">
      <c r="A13" s="24">
        <v>959</v>
      </c>
      <c r="B13" s="25">
        <v>45968</v>
      </c>
      <c r="C13" s="66">
        <v>0.29166666666666669</v>
      </c>
      <c r="D13" s="24">
        <v>57250</v>
      </c>
      <c r="E13" s="24" t="s">
        <v>30</v>
      </c>
      <c r="F13" s="24" t="s">
        <v>31</v>
      </c>
      <c r="G13" s="24">
        <v>0</v>
      </c>
      <c r="H13" s="24" t="s">
        <v>42</v>
      </c>
      <c r="I13" s="24" t="s">
        <v>43</v>
      </c>
      <c r="J13" s="24" t="s">
        <v>44</v>
      </c>
      <c r="K13" s="24">
        <v>0</v>
      </c>
      <c r="L13" s="24" t="s">
        <v>38</v>
      </c>
      <c r="M13" s="24">
        <v>4.399</v>
      </c>
      <c r="N13" s="24">
        <v>10.75</v>
      </c>
      <c r="O13" s="24">
        <v>47.3</v>
      </c>
      <c r="P13" s="24" t="s">
        <v>36</v>
      </c>
      <c r="Q13" s="24" t="s">
        <v>37</v>
      </c>
    </row>
    <row r="14" spans="1:17">
      <c r="A14" s="24">
        <v>959</v>
      </c>
      <c r="B14" s="25">
        <v>45969</v>
      </c>
      <c r="C14" s="66">
        <v>0.80347222222222225</v>
      </c>
      <c r="D14" s="24">
        <v>47082</v>
      </c>
      <c r="E14" s="24" t="s">
        <v>30</v>
      </c>
      <c r="F14" s="24" t="s">
        <v>31</v>
      </c>
      <c r="G14" s="24">
        <v>0</v>
      </c>
      <c r="H14" s="24" t="s">
        <v>45</v>
      </c>
      <c r="I14" s="24" t="s">
        <v>46</v>
      </c>
      <c r="J14" s="24" t="s">
        <v>41</v>
      </c>
      <c r="K14" s="24">
        <v>0</v>
      </c>
      <c r="L14" s="24" t="s">
        <v>35</v>
      </c>
      <c r="M14" s="24">
        <v>3.5760000000000001</v>
      </c>
      <c r="N14" s="24">
        <v>174.86</v>
      </c>
      <c r="O14" s="24">
        <v>625.29999999999995</v>
      </c>
      <c r="P14" s="24" t="s">
        <v>36</v>
      </c>
      <c r="Q14" s="24" t="s">
        <v>37</v>
      </c>
    </row>
    <row r="15" spans="1:17">
      <c r="A15" s="24">
        <v>959</v>
      </c>
      <c r="B15" s="25">
        <v>45969</v>
      </c>
      <c r="C15" s="66">
        <v>0.80347222222222225</v>
      </c>
      <c r="D15" s="24">
        <v>47082</v>
      </c>
      <c r="E15" s="24" t="s">
        <v>30</v>
      </c>
      <c r="F15" s="24" t="s">
        <v>31</v>
      </c>
      <c r="G15" s="24">
        <v>0</v>
      </c>
      <c r="H15" s="24" t="s">
        <v>45</v>
      </c>
      <c r="I15" s="24" t="s">
        <v>46</v>
      </c>
      <c r="J15" s="24" t="s">
        <v>41</v>
      </c>
      <c r="K15" s="24">
        <v>0</v>
      </c>
      <c r="L15" s="24" t="s">
        <v>38</v>
      </c>
      <c r="M15" s="24">
        <v>4.399</v>
      </c>
      <c r="N15" s="24">
        <v>9.94</v>
      </c>
      <c r="O15" s="24">
        <v>43.73</v>
      </c>
      <c r="P15" s="24" t="s">
        <v>36</v>
      </c>
      <c r="Q15" s="24" t="s">
        <v>37</v>
      </c>
    </row>
    <row r="16" spans="1:17">
      <c r="A16" s="24">
        <v>959</v>
      </c>
      <c r="B16" s="25">
        <v>45973</v>
      </c>
      <c r="C16" s="66">
        <v>0.20972222222222223</v>
      </c>
      <c r="D16" s="24">
        <v>6237</v>
      </c>
      <c r="E16" s="24" t="s">
        <v>30</v>
      </c>
      <c r="F16" s="24" t="s">
        <v>31</v>
      </c>
      <c r="G16" s="24">
        <v>0</v>
      </c>
      <c r="H16" s="24" t="s">
        <v>32</v>
      </c>
      <c r="I16" s="24" t="s">
        <v>33</v>
      </c>
      <c r="J16" s="24" t="s">
        <v>34</v>
      </c>
      <c r="K16" s="24">
        <v>0</v>
      </c>
      <c r="L16" s="24" t="s">
        <v>35</v>
      </c>
      <c r="M16" s="24">
        <v>3.9249999999999998</v>
      </c>
      <c r="N16" s="24">
        <v>170.72</v>
      </c>
      <c r="O16" s="24">
        <v>670.07</v>
      </c>
      <c r="P16" s="24" t="s">
        <v>36</v>
      </c>
      <c r="Q16" s="24" t="s">
        <v>37</v>
      </c>
    </row>
    <row r="17" spans="1:22">
      <c r="A17" s="24">
        <v>959</v>
      </c>
      <c r="B17" s="25">
        <v>45973</v>
      </c>
      <c r="C17" s="66">
        <v>0.20972222222222223</v>
      </c>
      <c r="D17" s="24">
        <v>6237</v>
      </c>
      <c r="E17" s="24" t="s">
        <v>30</v>
      </c>
      <c r="F17" s="24" t="s">
        <v>31</v>
      </c>
      <c r="G17" s="24">
        <v>0</v>
      </c>
      <c r="H17" s="24" t="s">
        <v>32</v>
      </c>
      <c r="I17" s="24" t="s">
        <v>33</v>
      </c>
      <c r="J17" s="24" t="s">
        <v>34</v>
      </c>
      <c r="K17" s="24">
        <v>0</v>
      </c>
      <c r="L17" s="24" t="s">
        <v>38</v>
      </c>
      <c r="M17" s="24">
        <v>4.399</v>
      </c>
      <c r="N17" s="24">
        <v>11.61</v>
      </c>
      <c r="O17" s="24">
        <v>51.05</v>
      </c>
      <c r="P17" s="24" t="s">
        <v>36</v>
      </c>
      <c r="Q17" s="24" t="s">
        <v>37</v>
      </c>
    </row>
    <row r="18" spans="1:22">
      <c r="A18" s="24">
        <v>959</v>
      </c>
      <c r="B18" s="25">
        <v>45974</v>
      </c>
      <c r="C18" s="66">
        <v>9.8611111111111108E-2</v>
      </c>
      <c r="D18" s="24">
        <v>52717</v>
      </c>
      <c r="E18" s="24" t="s">
        <v>30</v>
      </c>
      <c r="F18" s="24" t="s">
        <v>31</v>
      </c>
      <c r="G18" s="24">
        <v>0</v>
      </c>
      <c r="H18" s="24" t="s">
        <v>45</v>
      </c>
      <c r="I18" s="24" t="s">
        <v>46</v>
      </c>
      <c r="J18" s="24" t="s">
        <v>41</v>
      </c>
      <c r="K18" s="24">
        <v>0</v>
      </c>
      <c r="L18" s="24" t="s">
        <v>35</v>
      </c>
      <c r="M18" s="24">
        <v>3.573</v>
      </c>
      <c r="N18" s="24">
        <v>167.15</v>
      </c>
      <c r="O18" s="24">
        <v>597.22</v>
      </c>
      <c r="P18" s="24" t="s">
        <v>36</v>
      </c>
      <c r="Q18" s="24" t="s">
        <v>37</v>
      </c>
      <c r="S18" t="s">
        <v>47</v>
      </c>
    </row>
    <row r="19" spans="1:22">
      <c r="A19" s="24">
        <v>959</v>
      </c>
      <c r="B19" s="25">
        <v>45975</v>
      </c>
      <c r="C19" s="66">
        <v>0.37569444444444444</v>
      </c>
      <c r="D19" s="24">
        <v>66434</v>
      </c>
      <c r="E19" s="24" t="s">
        <v>30</v>
      </c>
      <c r="F19" s="24" t="s">
        <v>31</v>
      </c>
      <c r="G19" s="24">
        <v>0</v>
      </c>
      <c r="H19" s="24" t="s">
        <v>42</v>
      </c>
      <c r="I19" s="24" t="s">
        <v>43</v>
      </c>
      <c r="J19" s="24" t="s">
        <v>44</v>
      </c>
      <c r="K19" s="24">
        <v>0</v>
      </c>
      <c r="L19" s="24" t="s">
        <v>35</v>
      </c>
      <c r="M19" s="24">
        <v>3.427</v>
      </c>
      <c r="N19" s="24">
        <v>83.04</v>
      </c>
      <c r="O19" s="24">
        <v>284.58</v>
      </c>
      <c r="P19" s="24" t="s">
        <v>36</v>
      </c>
      <c r="Q19" s="24" t="s">
        <v>37</v>
      </c>
    </row>
    <row r="20" spans="1:22">
      <c r="A20" s="24">
        <v>959</v>
      </c>
      <c r="B20" s="25">
        <v>45977</v>
      </c>
      <c r="C20" s="66">
        <v>0.50972222222222219</v>
      </c>
      <c r="D20" s="24">
        <v>66469</v>
      </c>
      <c r="E20" s="24" t="s">
        <v>30</v>
      </c>
      <c r="F20" s="24" t="s">
        <v>31</v>
      </c>
      <c r="G20" s="24">
        <v>0</v>
      </c>
      <c r="H20" s="24" t="s">
        <v>42</v>
      </c>
      <c r="I20" s="24" t="s">
        <v>43</v>
      </c>
      <c r="J20" s="24" t="s">
        <v>44</v>
      </c>
      <c r="K20" s="24">
        <v>0</v>
      </c>
      <c r="L20" s="24" t="s">
        <v>35</v>
      </c>
      <c r="M20" s="24">
        <v>3.427</v>
      </c>
      <c r="N20" s="24">
        <v>137.63</v>
      </c>
      <c r="O20" s="24">
        <v>471.66</v>
      </c>
      <c r="P20" s="24" t="s">
        <v>36</v>
      </c>
      <c r="Q20" s="24" t="s">
        <v>37</v>
      </c>
    </row>
    <row r="21" spans="1:22">
      <c r="A21" s="24">
        <v>959</v>
      </c>
      <c r="B21" s="25">
        <v>45977</v>
      </c>
      <c r="C21" s="66">
        <v>0.50972222222222219</v>
      </c>
      <c r="D21" s="24">
        <v>66469</v>
      </c>
      <c r="E21" s="24" t="s">
        <v>30</v>
      </c>
      <c r="F21" s="24" t="s">
        <v>31</v>
      </c>
      <c r="G21" s="24">
        <v>0</v>
      </c>
      <c r="H21" s="24" t="s">
        <v>42</v>
      </c>
      <c r="I21" s="24" t="s">
        <v>43</v>
      </c>
      <c r="J21" s="24" t="s">
        <v>44</v>
      </c>
      <c r="K21" s="24">
        <v>0</v>
      </c>
      <c r="L21" s="24" t="s">
        <v>38</v>
      </c>
      <c r="M21" s="24">
        <v>4.399</v>
      </c>
      <c r="N21" s="24">
        <v>18.420000000000002</v>
      </c>
      <c r="O21" s="24">
        <v>81.010000000000005</v>
      </c>
      <c r="P21" s="24" t="s">
        <v>36</v>
      </c>
      <c r="Q21" s="24" t="s">
        <v>37</v>
      </c>
    </row>
    <row r="22" spans="1:22">
      <c r="A22" s="24">
        <v>959</v>
      </c>
      <c r="B22" s="25">
        <v>45978</v>
      </c>
      <c r="C22" s="66">
        <v>0.81388888888888888</v>
      </c>
      <c r="D22" s="24">
        <v>44196</v>
      </c>
      <c r="E22" s="24" t="s">
        <v>30</v>
      </c>
      <c r="F22" s="24" t="s">
        <v>31</v>
      </c>
      <c r="G22" s="24">
        <v>0</v>
      </c>
      <c r="H22" s="24" t="s">
        <v>39</v>
      </c>
      <c r="I22" s="24" t="s">
        <v>40</v>
      </c>
      <c r="J22" s="24" t="s">
        <v>41</v>
      </c>
      <c r="K22" s="24">
        <v>0</v>
      </c>
      <c r="L22" s="24" t="s">
        <v>35</v>
      </c>
      <c r="M22" s="24">
        <v>3.923</v>
      </c>
      <c r="N22" s="24">
        <v>162.37</v>
      </c>
      <c r="O22" s="24">
        <v>636.98</v>
      </c>
      <c r="P22" s="24" t="s">
        <v>36</v>
      </c>
      <c r="Q22" s="24" t="s">
        <v>37</v>
      </c>
    </row>
    <row r="23" spans="1:22">
      <c r="A23" s="24">
        <v>959</v>
      </c>
      <c r="B23" s="25">
        <v>45978</v>
      </c>
      <c r="C23" s="66">
        <v>0.81388888888888888</v>
      </c>
      <c r="D23" s="24">
        <v>44196</v>
      </c>
      <c r="E23" s="24" t="s">
        <v>30</v>
      </c>
      <c r="F23" s="24" t="s">
        <v>31</v>
      </c>
      <c r="G23" s="24">
        <v>0</v>
      </c>
      <c r="H23" s="24" t="s">
        <v>39</v>
      </c>
      <c r="I23" s="24" t="s">
        <v>40</v>
      </c>
      <c r="J23" s="24" t="s">
        <v>41</v>
      </c>
      <c r="K23" s="24">
        <v>0</v>
      </c>
      <c r="L23" s="24" t="s">
        <v>38</v>
      </c>
      <c r="M23" s="24">
        <v>4.399</v>
      </c>
      <c r="N23" s="24">
        <v>8.75</v>
      </c>
      <c r="O23" s="24">
        <v>38.5</v>
      </c>
      <c r="P23" s="24" t="s">
        <v>36</v>
      </c>
      <c r="Q23" s="24" t="s">
        <v>37</v>
      </c>
    </row>
    <row r="24" spans="1:22">
      <c r="A24" s="24">
        <v>959</v>
      </c>
      <c r="B24" s="25">
        <v>45980</v>
      </c>
      <c r="C24" s="66">
        <v>0.75763888888888886</v>
      </c>
      <c r="D24" s="24">
        <v>10597</v>
      </c>
      <c r="E24" s="24" t="s">
        <v>30</v>
      </c>
      <c r="F24" s="24" t="s">
        <v>31</v>
      </c>
      <c r="G24" s="24">
        <v>0</v>
      </c>
      <c r="H24" s="24" t="s">
        <v>32</v>
      </c>
      <c r="I24" s="24" t="s">
        <v>33</v>
      </c>
      <c r="J24" s="24" t="s">
        <v>34</v>
      </c>
      <c r="K24" s="24">
        <v>0</v>
      </c>
      <c r="L24" s="24" t="s">
        <v>35</v>
      </c>
      <c r="M24" s="24">
        <v>4.0259999999999998</v>
      </c>
      <c r="N24" s="24">
        <v>175.38</v>
      </c>
      <c r="O24" s="24">
        <v>706.08</v>
      </c>
      <c r="P24" s="24" t="s">
        <v>36</v>
      </c>
      <c r="Q24" s="24" t="s">
        <v>37</v>
      </c>
    </row>
    <row r="25" spans="1:22">
      <c r="A25" s="24">
        <v>959</v>
      </c>
      <c r="B25" s="25">
        <v>45982</v>
      </c>
      <c r="C25" s="66">
        <v>0.43472222222222223</v>
      </c>
      <c r="D25" s="24">
        <v>60652</v>
      </c>
      <c r="E25" s="24" t="s">
        <v>30</v>
      </c>
      <c r="F25" s="24" t="s">
        <v>31</v>
      </c>
      <c r="G25" s="24">
        <v>0</v>
      </c>
      <c r="H25" s="24" t="s">
        <v>45</v>
      </c>
      <c r="I25" s="24" t="s">
        <v>46</v>
      </c>
      <c r="J25" s="24" t="s">
        <v>41</v>
      </c>
      <c r="K25" s="24">
        <v>0</v>
      </c>
      <c r="L25" s="24" t="s">
        <v>35</v>
      </c>
      <c r="M25" s="24">
        <v>3.5670000000000002</v>
      </c>
      <c r="N25" s="24">
        <v>132.79</v>
      </c>
      <c r="O25" s="24">
        <v>473.67</v>
      </c>
      <c r="P25" s="24" t="s">
        <v>36</v>
      </c>
      <c r="Q25" s="24" t="s">
        <v>37</v>
      </c>
      <c r="V25" s="36"/>
    </row>
    <row r="26" spans="1:22">
      <c r="A26" s="24">
        <v>959</v>
      </c>
      <c r="B26" s="25">
        <v>45982</v>
      </c>
      <c r="C26" s="66">
        <v>0.43472222222222223</v>
      </c>
      <c r="D26" s="24">
        <v>60652</v>
      </c>
      <c r="E26" s="24" t="s">
        <v>30</v>
      </c>
      <c r="F26" s="24" t="s">
        <v>31</v>
      </c>
      <c r="G26" s="24">
        <v>0</v>
      </c>
      <c r="H26" s="24" t="s">
        <v>45</v>
      </c>
      <c r="I26" s="24" t="s">
        <v>46</v>
      </c>
      <c r="J26" s="24" t="s">
        <v>41</v>
      </c>
      <c r="K26" s="24">
        <v>0</v>
      </c>
      <c r="L26" s="24" t="s">
        <v>38</v>
      </c>
      <c r="M26" s="24">
        <v>4.399</v>
      </c>
      <c r="N26" s="24">
        <v>19.59</v>
      </c>
      <c r="O26" s="24">
        <v>86.19</v>
      </c>
      <c r="P26" s="24" t="s">
        <v>36</v>
      </c>
      <c r="Q26" s="24" t="s">
        <v>37</v>
      </c>
      <c r="V26" s="36"/>
    </row>
    <row r="27" spans="1:22">
      <c r="A27" s="24">
        <v>959</v>
      </c>
      <c r="B27" s="25">
        <v>45985</v>
      </c>
      <c r="C27" s="66">
        <v>0.10208333333333333</v>
      </c>
      <c r="D27" s="24">
        <v>47331</v>
      </c>
      <c r="E27" s="24" t="s">
        <v>30</v>
      </c>
      <c r="F27" s="24" t="s">
        <v>31</v>
      </c>
      <c r="G27" s="24">
        <v>0</v>
      </c>
      <c r="H27" s="24" t="s">
        <v>39</v>
      </c>
      <c r="I27" s="24" t="s">
        <v>40</v>
      </c>
      <c r="J27" s="24" t="s">
        <v>41</v>
      </c>
      <c r="K27" s="24">
        <v>0</v>
      </c>
      <c r="L27" s="24" t="s">
        <v>35</v>
      </c>
      <c r="M27" s="24">
        <v>3.4910000000000001</v>
      </c>
      <c r="N27" s="24">
        <v>167.77</v>
      </c>
      <c r="O27" s="24">
        <v>585.69000000000005</v>
      </c>
      <c r="P27" s="24" t="s">
        <v>36</v>
      </c>
      <c r="Q27" s="24" t="s">
        <v>37</v>
      </c>
    </row>
    <row r="28" spans="1:22">
      <c r="A28" s="24">
        <v>959</v>
      </c>
      <c r="B28" s="25">
        <v>45985</v>
      </c>
      <c r="C28" s="66">
        <v>0.10208333333333333</v>
      </c>
      <c r="D28" s="24">
        <v>47331</v>
      </c>
      <c r="E28" s="24" t="s">
        <v>30</v>
      </c>
      <c r="F28" s="24" t="s">
        <v>31</v>
      </c>
      <c r="G28" s="24">
        <v>0</v>
      </c>
      <c r="H28" s="24" t="s">
        <v>39</v>
      </c>
      <c r="I28" s="24" t="s">
        <v>40</v>
      </c>
      <c r="J28" s="24" t="s">
        <v>41</v>
      </c>
      <c r="K28" s="24">
        <v>0</v>
      </c>
      <c r="L28" s="24" t="s">
        <v>38</v>
      </c>
      <c r="M28" s="24">
        <v>4.399</v>
      </c>
      <c r="N28" s="24">
        <v>11.58</v>
      </c>
      <c r="O28" s="24">
        <v>50.95</v>
      </c>
      <c r="P28" s="24" t="s">
        <v>36</v>
      </c>
      <c r="Q28" s="24" t="s">
        <v>37</v>
      </c>
    </row>
    <row r="29" spans="1:22">
      <c r="A29" s="24">
        <v>959</v>
      </c>
      <c r="B29" s="25">
        <v>45988</v>
      </c>
      <c r="C29" s="66">
        <v>0.98750000000000004</v>
      </c>
      <c r="D29" s="24">
        <v>81071</v>
      </c>
      <c r="E29" s="24" t="s">
        <v>30</v>
      </c>
      <c r="F29" s="24" t="s">
        <v>31</v>
      </c>
      <c r="G29" s="24">
        <v>0</v>
      </c>
      <c r="H29" s="24" t="s">
        <v>42</v>
      </c>
      <c r="I29" s="24" t="s">
        <v>43</v>
      </c>
      <c r="J29" s="24" t="s">
        <v>44</v>
      </c>
      <c r="K29" s="24">
        <v>0</v>
      </c>
      <c r="L29" s="24" t="s">
        <v>35</v>
      </c>
      <c r="M29" s="24">
        <v>2.863</v>
      </c>
      <c r="N29" s="24">
        <v>172.43</v>
      </c>
      <c r="O29" s="24">
        <v>493.67</v>
      </c>
      <c r="P29" s="24" t="s">
        <v>36</v>
      </c>
      <c r="Q29" s="24" t="s">
        <v>37</v>
      </c>
    </row>
    <row r="30" spans="1:22">
      <c r="A30" s="24">
        <v>959</v>
      </c>
      <c r="B30" s="25">
        <v>45988</v>
      </c>
      <c r="C30" s="66">
        <v>0.98750000000000004</v>
      </c>
      <c r="D30" s="24">
        <v>81071</v>
      </c>
      <c r="E30" s="24" t="s">
        <v>30</v>
      </c>
      <c r="F30" s="24" t="s">
        <v>31</v>
      </c>
      <c r="G30" s="24">
        <v>0</v>
      </c>
      <c r="H30" s="24" t="s">
        <v>42</v>
      </c>
      <c r="I30" s="24" t="s">
        <v>43</v>
      </c>
      <c r="J30" s="24" t="s">
        <v>44</v>
      </c>
      <c r="K30" s="24">
        <v>0</v>
      </c>
      <c r="L30" s="24" t="s">
        <v>38</v>
      </c>
      <c r="M30" s="24">
        <v>4.399</v>
      </c>
      <c r="N30" s="24">
        <v>9.65</v>
      </c>
      <c r="O30" s="24">
        <v>42.47</v>
      </c>
      <c r="P30" s="24" t="s">
        <v>36</v>
      </c>
      <c r="Q30" s="24" t="s">
        <v>37</v>
      </c>
    </row>
  </sheetData>
  <mergeCells count="1">
    <mergeCell ref="A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869C-151B-2443-9DD1-C246E86878ED}">
  <dimension ref="A2:I8"/>
  <sheetViews>
    <sheetView workbookViewId="0">
      <selection activeCell="L15" sqref="L15"/>
    </sheetView>
  </sheetViews>
  <sheetFormatPr defaultColWidth="11" defaultRowHeight="15.95"/>
  <cols>
    <col min="1" max="2" width="16.5" bestFit="1" customWidth="1"/>
    <col min="3" max="3" width="40.5" bestFit="1" customWidth="1"/>
    <col min="4" max="4" width="12.625" bestFit="1" customWidth="1"/>
    <col min="5" max="5" width="12.875" bestFit="1" customWidth="1"/>
    <col min="7" max="7" width="7.625" bestFit="1" customWidth="1"/>
    <col min="8" max="9" width="15.875" bestFit="1" customWidth="1"/>
  </cols>
  <sheetData>
    <row r="2" spans="1:9">
      <c r="B2" t="s">
        <v>48</v>
      </c>
      <c r="H2" t="s">
        <v>49</v>
      </c>
    </row>
    <row r="3" spans="1:9">
      <c r="B3" t="s">
        <v>50</v>
      </c>
      <c r="H3" t="s">
        <v>51</v>
      </c>
    </row>
    <row r="4" spans="1:9">
      <c r="B4" t="s">
        <v>52</v>
      </c>
      <c r="H4" t="s">
        <v>53</v>
      </c>
    </row>
    <row r="5" spans="1:9">
      <c r="B5" t="s">
        <v>54</v>
      </c>
    </row>
    <row r="8" spans="1:9" s="1" customFormat="1" ht="18" thickBot="1">
      <c r="A8" s="3" t="s">
        <v>11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361F-08DC-E146-8332-0A14F25D2471}">
  <dimension ref="A2:Q51"/>
  <sheetViews>
    <sheetView workbookViewId="0">
      <selection activeCell="L51" sqref="L51"/>
    </sheetView>
  </sheetViews>
  <sheetFormatPr defaultColWidth="11" defaultRowHeight="15.75" customHeight="1"/>
  <cols>
    <col min="1" max="1" width="11" customWidth="1"/>
    <col min="2" max="2" width="17.125" customWidth="1"/>
    <col min="3" max="3" width="34.75" customWidth="1"/>
    <col min="4" max="4" width="12.75" customWidth="1"/>
    <col min="5" max="5" width="25.875" customWidth="1"/>
    <col min="6" max="6" width="11.75" customWidth="1"/>
    <col min="7" max="7" width="26.875" customWidth="1"/>
    <col min="8" max="8" width="17.125" customWidth="1"/>
    <col min="9" max="9" width="12.5" bestFit="1" customWidth="1"/>
    <col min="10" max="10" width="9.375" customWidth="1"/>
    <col min="11" max="11" width="16" style="24" customWidth="1"/>
    <col min="12" max="12" width="33.5" customWidth="1"/>
    <col min="13" max="13" width="15.875" customWidth="1"/>
    <col min="14" max="14" width="22.25" customWidth="1"/>
    <col min="15" max="15" width="21.25" customWidth="1"/>
    <col min="16" max="16" width="29.5" customWidth="1"/>
  </cols>
  <sheetData>
    <row r="2" spans="1:17">
      <c r="C2" t="s">
        <v>63</v>
      </c>
      <c r="H2" t="str">
        <f>"Report Date: 11/1/2025"</f>
        <v>Report Date: 11/1/2025</v>
      </c>
    </row>
    <row r="3" spans="1:17">
      <c r="C3" t="s">
        <v>64</v>
      </c>
      <c r="H3" t="s">
        <v>65</v>
      </c>
    </row>
    <row r="4" spans="1:17">
      <c r="C4" t="s">
        <v>66</v>
      </c>
      <c r="H4" t="str">
        <f>"Truck: "&amp;I10</f>
        <v>Truck: MPL5046</v>
      </c>
    </row>
    <row r="5" spans="1:17">
      <c r="C5" t="s">
        <v>67</v>
      </c>
    </row>
    <row r="6" spans="1:17">
      <c r="C6" t="s">
        <v>68</v>
      </c>
    </row>
    <row r="9" spans="1:17" s="2" customFormat="1" ht="33.75" customHeight="1">
      <c r="A9" s="31" t="s">
        <v>69</v>
      </c>
      <c r="B9" s="31" t="s">
        <v>70</v>
      </c>
      <c r="C9" s="31" t="s">
        <v>71</v>
      </c>
      <c r="D9" s="32" t="s">
        <v>72</v>
      </c>
      <c r="E9" s="31" t="s">
        <v>73</v>
      </c>
      <c r="F9" s="32" t="s">
        <v>74</v>
      </c>
      <c r="G9" s="31" t="s">
        <v>75</v>
      </c>
      <c r="H9" s="31" t="s">
        <v>76</v>
      </c>
      <c r="I9" s="33" t="s">
        <v>77</v>
      </c>
      <c r="J9" s="33" t="s">
        <v>78</v>
      </c>
      <c r="K9" s="39" t="s">
        <v>79</v>
      </c>
      <c r="N9" s="37" t="s">
        <v>80</v>
      </c>
      <c r="O9" s="37" t="s">
        <v>81</v>
      </c>
      <c r="P9" s="37" t="s">
        <v>82</v>
      </c>
    </row>
    <row r="10" spans="1:17">
      <c r="A10" s="29" t="s">
        <v>83</v>
      </c>
      <c r="B10" s="29">
        <v>15368128</v>
      </c>
      <c r="C10" s="29" t="s">
        <v>84</v>
      </c>
      <c r="D10" s="30">
        <v>45961</v>
      </c>
      <c r="E10" s="29" t="s">
        <v>85</v>
      </c>
      <c r="F10" s="25">
        <v>45964</v>
      </c>
      <c r="G10" s="29" t="s">
        <v>86</v>
      </c>
      <c r="H10" s="29" t="s">
        <v>31</v>
      </c>
      <c r="I10" s="29" t="s">
        <v>30</v>
      </c>
      <c r="J10" s="29" t="s">
        <v>87</v>
      </c>
      <c r="K10" s="24">
        <v>580988</v>
      </c>
      <c r="N10" s="38" t="s">
        <v>88</v>
      </c>
      <c r="O10" s="38" t="s">
        <v>89</v>
      </c>
      <c r="P10" s="38"/>
    </row>
    <row r="11" spans="1:17">
      <c r="A11" s="24" t="s">
        <v>90</v>
      </c>
      <c r="B11" s="24">
        <v>15393089</v>
      </c>
      <c r="C11" s="24" t="s">
        <v>84</v>
      </c>
      <c r="D11" s="25">
        <v>45964</v>
      </c>
      <c r="E11" s="24" t="s">
        <v>86</v>
      </c>
      <c r="F11" s="25">
        <v>45964</v>
      </c>
      <c r="G11" s="24" t="s">
        <v>85</v>
      </c>
      <c r="H11" s="24" t="s">
        <v>31</v>
      </c>
      <c r="I11" s="24" t="s">
        <v>30</v>
      </c>
      <c r="J11" s="24" t="s">
        <v>87</v>
      </c>
      <c r="K11" s="24">
        <v>6851123</v>
      </c>
      <c r="L11" t="s">
        <v>91</v>
      </c>
      <c r="N11" t="s">
        <v>92</v>
      </c>
      <c r="O11" t="s">
        <v>93</v>
      </c>
      <c r="Q11" t="s">
        <v>91</v>
      </c>
    </row>
    <row r="12" spans="1:17">
      <c r="A12" s="24" t="s">
        <v>94</v>
      </c>
      <c r="B12" s="24">
        <v>15392627</v>
      </c>
      <c r="C12" s="24" t="s">
        <v>84</v>
      </c>
      <c r="D12" s="25">
        <v>45964</v>
      </c>
      <c r="E12" s="24" t="s">
        <v>85</v>
      </c>
      <c r="F12" s="25">
        <v>45965</v>
      </c>
      <c r="G12" s="24" t="s">
        <v>86</v>
      </c>
      <c r="H12" s="24" t="s">
        <v>31</v>
      </c>
      <c r="I12" s="24" t="s">
        <v>30</v>
      </c>
      <c r="J12" s="24" t="s">
        <v>95</v>
      </c>
      <c r="K12" s="24">
        <v>581331</v>
      </c>
      <c r="N12" t="s">
        <v>96</v>
      </c>
      <c r="O12" t="s">
        <v>97</v>
      </c>
    </row>
    <row r="13" spans="1:17">
      <c r="A13" s="24" t="s">
        <v>98</v>
      </c>
      <c r="B13" s="24">
        <v>15392834</v>
      </c>
      <c r="C13" s="24" t="s">
        <v>84</v>
      </c>
      <c r="D13" s="25">
        <v>45965</v>
      </c>
      <c r="E13" s="24" t="s">
        <v>86</v>
      </c>
      <c r="F13" s="25">
        <v>45965</v>
      </c>
      <c r="G13" s="24" t="s">
        <v>85</v>
      </c>
      <c r="H13" s="24" t="s">
        <v>31</v>
      </c>
      <c r="I13" s="24" t="s">
        <v>30</v>
      </c>
      <c r="J13" s="24" t="s">
        <v>95</v>
      </c>
      <c r="K13" s="24">
        <v>6851159</v>
      </c>
      <c r="N13" t="s">
        <v>99</v>
      </c>
      <c r="O13" t="s">
        <v>100</v>
      </c>
      <c r="Q13" t="s">
        <v>101</v>
      </c>
    </row>
    <row r="14" spans="1:17">
      <c r="A14" s="24" t="s">
        <v>102</v>
      </c>
      <c r="B14" s="24">
        <v>15392694</v>
      </c>
      <c r="C14" s="24" t="s">
        <v>84</v>
      </c>
      <c r="D14" s="25">
        <v>45965</v>
      </c>
      <c r="E14" s="24" t="s">
        <v>85</v>
      </c>
      <c r="F14" s="25">
        <v>45967</v>
      </c>
      <c r="G14" s="24" t="s">
        <v>86</v>
      </c>
      <c r="H14" s="24" t="s">
        <v>103</v>
      </c>
      <c r="I14" s="24" t="s">
        <v>30</v>
      </c>
      <c r="J14" s="24" t="s">
        <v>104</v>
      </c>
      <c r="K14" s="24">
        <v>581572</v>
      </c>
      <c r="N14" t="s">
        <v>105</v>
      </c>
      <c r="O14" t="s">
        <v>106</v>
      </c>
    </row>
    <row r="15" spans="1:17">
      <c r="A15" s="24" t="s">
        <v>107</v>
      </c>
      <c r="B15" s="24">
        <v>15392663</v>
      </c>
      <c r="C15" s="24" t="s">
        <v>84</v>
      </c>
      <c r="D15" s="25">
        <v>45967</v>
      </c>
      <c r="E15" s="24" t="s">
        <v>86</v>
      </c>
      <c r="F15" s="25">
        <v>45967</v>
      </c>
      <c r="G15" s="24" t="s">
        <v>85</v>
      </c>
      <c r="H15" s="24" t="s">
        <v>103</v>
      </c>
      <c r="I15" s="24" t="s">
        <v>30</v>
      </c>
      <c r="J15" s="24" t="s">
        <v>108</v>
      </c>
      <c r="K15" s="24">
        <v>6851195</v>
      </c>
      <c r="N15" t="s">
        <v>109</v>
      </c>
      <c r="O15" t="s">
        <v>110</v>
      </c>
    </row>
    <row r="16" spans="1:17">
      <c r="A16" s="24" t="s">
        <v>111</v>
      </c>
      <c r="B16" s="24">
        <v>15393302</v>
      </c>
      <c r="C16" s="24" t="s">
        <v>84</v>
      </c>
      <c r="D16" s="25">
        <v>45967</v>
      </c>
      <c r="E16" s="24" t="s">
        <v>85</v>
      </c>
      <c r="F16" s="25">
        <v>45968</v>
      </c>
      <c r="G16" s="24" t="s">
        <v>86</v>
      </c>
      <c r="H16" s="24" t="s">
        <v>31</v>
      </c>
      <c r="I16" s="24" t="s">
        <v>30</v>
      </c>
      <c r="J16" s="24" t="s">
        <v>112</v>
      </c>
      <c r="K16" s="24">
        <v>581776</v>
      </c>
      <c r="N16" t="s">
        <v>113</v>
      </c>
      <c r="O16" t="s">
        <v>114</v>
      </c>
      <c r="Q16" t="s">
        <v>101</v>
      </c>
    </row>
    <row r="17" spans="1:17">
      <c r="A17" s="24" t="s">
        <v>115</v>
      </c>
      <c r="B17" s="24">
        <v>15392866</v>
      </c>
      <c r="C17" s="24" t="s">
        <v>84</v>
      </c>
      <c r="D17" s="25">
        <v>45969</v>
      </c>
      <c r="E17" s="24" t="s">
        <v>86</v>
      </c>
      <c r="F17" s="25">
        <v>45969</v>
      </c>
      <c r="G17" s="24" t="s">
        <v>85</v>
      </c>
      <c r="H17" s="24" t="s">
        <v>116</v>
      </c>
      <c r="I17" s="24" t="s">
        <v>30</v>
      </c>
      <c r="J17" s="24" t="s">
        <v>117</v>
      </c>
      <c r="K17" s="24">
        <v>6851242</v>
      </c>
      <c r="N17" t="s">
        <v>118</v>
      </c>
      <c r="O17" t="s">
        <v>119</v>
      </c>
    </row>
    <row r="18" spans="1:17">
      <c r="A18" s="24" t="s">
        <v>120</v>
      </c>
      <c r="B18" s="24">
        <v>15393042</v>
      </c>
      <c r="C18" s="24" t="s">
        <v>84</v>
      </c>
      <c r="D18" s="25">
        <v>45969</v>
      </c>
      <c r="E18" s="24" t="s">
        <v>85</v>
      </c>
      <c r="F18" s="25">
        <v>45971</v>
      </c>
      <c r="G18" s="24" t="s">
        <v>86</v>
      </c>
      <c r="H18" s="24" t="s">
        <v>31</v>
      </c>
      <c r="I18" s="24" t="s">
        <v>30</v>
      </c>
      <c r="J18" s="24" t="s">
        <v>112</v>
      </c>
      <c r="K18" s="24">
        <v>582017</v>
      </c>
      <c r="L18" t="s">
        <v>91</v>
      </c>
      <c r="N18" t="s">
        <v>121</v>
      </c>
      <c r="O18" t="s">
        <v>122</v>
      </c>
    </row>
    <row r="19" spans="1:17">
      <c r="A19" s="24" t="s">
        <v>123</v>
      </c>
      <c r="B19" s="24">
        <v>15425555</v>
      </c>
      <c r="C19" s="24" t="s">
        <v>84</v>
      </c>
      <c r="D19" s="25">
        <v>45971</v>
      </c>
      <c r="E19" s="24" t="s">
        <v>86</v>
      </c>
      <c r="F19" s="25">
        <v>45972</v>
      </c>
      <c r="G19" s="24" t="s">
        <v>85</v>
      </c>
      <c r="H19" s="24" t="s">
        <v>31</v>
      </c>
      <c r="I19" s="24" t="s">
        <v>30</v>
      </c>
      <c r="J19" s="24" t="s">
        <v>112</v>
      </c>
      <c r="K19" s="24">
        <v>6851294</v>
      </c>
      <c r="N19" t="s">
        <v>124</v>
      </c>
      <c r="O19" t="s">
        <v>125</v>
      </c>
      <c r="Q19" t="s">
        <v>101</v>
      </c>
    </row>
    <row r="20" spans="1:17">
      <c r="A20" s="24" t="s">
        <v>126</v>
      </c>
      <c r="B20" s="24">
        <v>15425564</v>
      </c>
      <c r="C20" s="24" t="s">
        <v>84</v>
      </c>
      <c r="D20" s="25">
        <v>45972</v>
      </c>
      <c r="E20" s="24" t="s">
        <v>85</v>
      </c>
      <c r="F20" s="25">
        <v>45973</v>
      </c>
      <c r="G20" s="24" t="s">
        <v>86</v>
      </c>
      <c r="H20" s="24" t="s">
        <v>31</v>
      </c>
      <c r="I20" s="24" t="s">
        <v>30</v>
      </c>
      <c r="J20" s="24" t="s">
        <v>127</v>
      </c>
      <c r="K20" s="24">
        <v>582075</v>
      </c>
      <c r="N20" t="s">
        <v>128</v>
      </c>
      <c r="O20" t="s">
        <v>129</v>
      </c>
    </row>
    <row r="21" spans="1:17">
      <c r="A21" s="24" t="s">
        <v>130</v>
      </c>
      <c r="B21" s="24">
        <v>15417727</v>
      </c>
      <c r="C21" s="24" t="s">
        <v>84</v>
      </c>
      <c r="D21" s="25">
        <v>45973</v>
      </c>
      <c r="E21" s="24" t="s">
        <v>86</v>
      </c>
      <c r="F21" s="25">
        <v>45973</v>
      </c>
      <c r="G21" s="24" t="s">
        <v>85</v>
      </c>
      <c r="H21" s="24" t="s">
        <v>31</v>
      </c>
      <c r="I21" s="24" t="s">
        <v>30</v>
      </c>
      <c r="J21" s="24" t="s">
        <v>127</v>
      </c>
      <c r="K21" s="24">
        <v>6851324</v>
      </c>
      <c r="N21" t="s">
        <v>131</v>
      </c>
      <c r="O21" t="s">
        <v>132</v>
      </c>
    </row>
    <row r="22" spans="1:17">
      <c r="A22" s="24" t="s">
        <v>133</v>
      </c>
      <c r="B22" s="24">
        <v>15417160</v>
      </c>
      <c r="C22" s="24" t="s">
        <v>84</v>
      </c>
      <c r="D22" s="25">
        <v>45973</v>
      </c>
      <c r="E22" s="24" t="s">
        <v>85</v>
      </c>
      <c r="F22" s="25">
        <v>45974</v>
      </c>
      <c r="G22" s="24" t="s">
        <v>86</v>
      </c>
      <c r="H22" s="24" t="s">
        <v>134</v>
      </c>
      <c r="I22" s="24" t="s">
        <v>30</v>
      </c>
      <c r="J22" s="24" t="s">
        <v>117</v>
      </c>
      <c r="K22" s="24">
        <v>582576</v>
      </c>
      <c r="N22" t="s">
        <v>135</v>
      </c>
      <c r="O22" t="s">
        <v>136</v>
      </c>
      <c r="Q22" t="s">
        <v>101</v>
      </c>
    </row>
    <row r="23" spans="1:17">
      <c r="A23" s="24" t="s">
        <v>137</v>
      </c>
      <c r="B23" s="24">
        <v>15417280</v>
      </c>
      <c r="C23" s="24" t="s">
        <v>84</v>
      </c>
      <c r="D23" s="25">
        <v>45974</v>
      </c>
      <c r="E23" s="24" t="s">
        <v>86</v>
      </c>
      <c r="F23" s="25">
        <v>45974</v>
      </c>
      <c r="G23" s="24" t="s">
        <v>85</v>
      </c>
      <c r="H23" s="24" t="s">
        <v>31</v>
      </c>
      <c r="I23" s="24" t="s">
        <v>30</v>
      </c>
      <c r="J23" s="24" t="s">
        <v>138</v>
      </c>
      <c r="K23" s="24">
        <v>6851352</v>
      </c>
      <c r="L23" t="s">
        <v>139</v>
      </c>
      <c r="N23" t="s">
        <v>140</v>
      </c>
      <c r="O23" t="s">
        <v>141</v>
      </c>
      <c r="Q23" t="s">
        <v>139</v>
      </c>
    </row>
    <row r="24" spans="1:17">
      <c r="A24" s="24" t="s">
        <v>142</v>
      </c>
      <c r="B24" s="24">
        <v>15417700</v>
      </c>
      <c r="C24" s="24" t="s">
        <v>84</v>
      </c>
      <c r="D24" s="25">
        <v>45974</v>
      </c>
      <c r="E24" s="24" t="s">
        <v>85</v>
      </c>
      <c r="F24" s="25">
        <v>45975</v>
      </c>
      <c r="G24" s="24" t="s">
        <v>86</v>
      </c>
      <c r="H24" s="24" t="s">
        <v>143</v>
      </c>
      <c r="I24" s="24" t="s">
        <v>30</v>
      </c>
      <c r="J24" s="24" t="s">
        <v>144</v>
      </c>
      <c r="K24" s="24">
        <v>582677</v>
      </c>
      <c r="N24" t="s">
        <v>145</v>
      </c>
      <c r="O24" t="s">
        <v>146</v>
      </c>
      <c r="Q24" t="s">
        <v>147</v>
      </c>
    </row>
    <row r="25" spans="1:17">
      <c r="A25" s="24" t="s">
        <v>148</v>
      </c>
      <c r="B25" s="24">
        <v>15417205</v>
      </c>
      <c r="C25" s="24" t="s">
        <v>84</v>
      </c>
      <c r="D25" s="25">
        <v>45975</v>
      </c>
      <c r="E25" s="24" t="s">
        <v>86</v>
      </c>
      <c r="F25" s="25">
        <v>45976</v>
      </c>
      <c r="G25" s="24" t="s">
        <v>85</v>
      </c>
      <c r="H25" s="24" t="s">
        <v>31</v>
      </c>
      <c r="I25" s="24" t="s">
        <v>30</v>
      </c>
      <c r="J25" s="24" t="s">
        <v>87</v>
      </c>
      <c r="K25" s="24">
        <v>6851389</v>
      </c>
      <c r="N25" t="s">
        <v>149</v>
      </c>
      <c r="O25" t="s">
        <v>150</v>
      </c>
    </row>
    <row r="26" spans="1:17" s="38" customFormat="1">
      <c r="A26" s="67" t="s">
        <v>151</v>
      </c>
      <c r="B26" s="67">
        <v>15417158</v>
      </c>
      <c r="C26" s="67" t="s">
        <v>84</v>
      </c>
      <c r="D26" s="68">
        <v>45976</v>
      </c>
      <c r="E26" s="67" t="s">
        <v>85</v>
      </c>
      <c r="F26" s="68">
        <v>45977</v>
      </c>
      <c r="G26" s="67" t="s">
        <v>86</v>
      </c>
      <c r="H26" s="67" t="s">
        <v>31</v>
      </c>
      <c r="I26" s="67" t="s">
        <v>30</v>
      </c>
      <c r="J26" s="67" t="s">
        <v>152</v>
      </c>
      <c r="K26" s="67">
        <v>582976</v>
      </c>
      <c r="N26" s="38" t="s">
        <v>153</v>
      </c>
      <c r="O26" s="38" t="s">
        <v>154</v>
      </c>
      <c r="P26" s="38" t="s">
        <v>155</v>
      </c>
    </row>
    <row r="27" spans="1:17">
      <c r="A27" s="24" t="s">
        <v>156</v>
      </c>
      <c r="B27" s="24">
        <v>15440628</v>
      </c>
      <c r="C27" s="24" t="s">
        <v>84</v>
      </c>
      <c r="D27" s="25">
        <v>45978</v>
      </c>
      <c r="E27" s="24" t="s">
        <v>86</v>
      </c>
      <c r="F27" s="25">
        <v>45978</v>
      </c>
      <c r="G27" s="24" t="s">
        <v>85</v>
      </c>
      <c r="H27" s="24" t="s">
        <v>31</v>
      </c>
      <c r="I27" s="24" t="s">
        <v>30</v>
      </c>
      <c r="J27" s="24" t="s">
        <v>157</v>
      </c>
      <c r="K27" s="24">
        <v>6851448</v>
      </c>
      <c r="N27" t="s">
        <v>158</v>
      </c>
      <c r="O27" t="s">
        <v>159</v>
      </c>
    </row>
    <row r="28" spans="1:17">
      <c r="A28" s="24" t="s">
        <v>160</v>
      </c>
      <c r="B28" s="24">
        <v>15440770</v>
      </c>
      <c r="C28" s="24" t="s">
        <v>84</v>
      </c>
      <c r="D28" s="25">
        <v>45978</v>
      </c>
      <c r="E28" s="24" t="s">
        <v>85</v>
      </c>
      <c r="F28" s="25">
        <v>45979</v>
      </c>
      <c r="G28" s="24" t="s">
        <v>86</v>
      </c>
      <c r="H28" s="24" t="s">
        <v>31</v>
      </c>
      <c r="I28" s="24" t="s">
        <v>30</v>
      </c>
      <c r="J28" s="24" t="s">
        <v>152</v>
      </c>
      <c r="K28" s="24">
        <v>583188</v>
      </c>
      <c r="N28" t="s">
        <v>161</v>
      </c>
      <c r="O28" t="s">
        <v>162</v>
      </c>
    </row>
    <row r="29" spans="1:17">
      <c r="A29" s="24" t="s">
        <v>163</v>
      </c>
      <c r="B29" s="24">
        <v>15441263</v>
      </c>
      <c r="C29" s="24" t="s">
        <v>84</v>
      </c>
      <c r="D29" s="25">
        <v>45979</v>
      </c>
      <c r="E29" s="24" t="s">
        <v>86</v>
      </c>
      <c r="F29" s="25">
        <v>45979</v>
      </c>
      <c r="G29" s="24" t="s">
        <v>85</v>
      </c>
      <c r="H29" s="24" t="s">
        <v>31</v>
      </c>
      <c r="I29" s="24" t="s">
        <v>30</v>
      </c>
      <c r="J29" s="24" t="s">
        <v>152</v>
      </c>
      <c r="K29" s="24">
        <v>6851480</v>
      </c>
      <c r="N29" t="s">
        <v>164</v>
      </c>
      <c r="O29" t="s">
        <v>165</v>
      </c>
      <c r="Q29" t="s">
        <v>101</v>
      </c>
    </row>
    <row r="30" spans="1:17">
      <c r="A30" s="24" t="s">
        <v>166</v>
      </c>
      <c r="B30" s="24">
        <v>15440413</v>
      </c>
      <c r="C30" s="24" t="s">
        <v>84</v>
      </c>
      <c r="D30" s="25">
        <v>45979</v>
      </c>
      <c r="E30" s="24" t="s">
        <v>85</v>
      </c>
      <c r="F30" s="25">
        <v>45980</v>
      </c>
      <c r="G30" s="24" t="s">
        <v>86</v>
      </c>
      <c r="H30" s="24" t="s">
        <v>31</v>
      </c>
      <c r="I30" s="24" t="s">
        <v>30</v>
      </c>
      <c r="J30" s="24" t="s">
        <v>138</v>
      </c>
      <c r="K30" s="24">
        <v>583590</v>
      </c>
      <c r="N30" t="s">
        <v>167</v>
      </c>
      <c r="O30" t="s">
        <v>168</v>
      </c>
    </row>
    <row r="31" spans="1:17">
      <c r="A31" s="24" t="s">
        <v>169</v>
      </c>
      <c r="B31" s="24">
        <v>15440397</v>
      </c>
      <c r="C31" s="24" t="s">
        <v>84</v>
      </c>
      <c r="D31" s="25">
        <v>45980</v>
      </c>
      <c r="E31" s="24" t="s">
        <v>86</v>
      </c>
      <c r="F31" s="25">
        <v>45981</v>
      </c>
      <c r="G31" s="24" t="s">
        <v>85</v>
      </c>
      <c r="H31" s="24" t="s">
        <v>31</v>
      </c>
      <c r="I31" s="24" t="s">
        <v>30</v>
      </c>
      <c r="J31" s="24" t="s">
        <v>138</v>
      </c>
      <c r="K31" s="24">
        <v>6851514</v>
      </c>
      <c r="N31" t="s">
        <v>170</v>
      </c>
      <c r="O31" t="s">
        <v>171</v>
      </c>
      <c r="Q31" t="s">
        <v>101</v>
      </c>
    </row>
    <row r="32" spans="1:17">
      <c r="A32" s="24" t="s">
        <v>172</v>
      </c>
      <c r="B32" s="24">
        <v>15440941</v>
      </c>
      <c r="C32" s="24" t="s">
        <v>84</v>
      </c>
      <c r="D32" s="25">
        <v>45981</v>
      </c>
      <c r="E32" s="24" t="s">
        <v>85</v>
      </c>
      <c r="F32" s="25">
        <v>45981</v>
      </c>
      <c r="G32" s="24" t="s">
        <v>86</v>
      </c>
      <c r="H32" s="24" t="s">
        <v>31</v>
      </c>
      <c r="I32" s="24" t="s">
        <v>30</v>
      </c>
      <c r="J32" s="24" t="s">
        <v>127</v>
      </c>
      <c r="K32" s="24">
        <v>583860</v>
      </c>
      <c r="N32" t="s">
        <v>173</v>
      </c>
      <c r="O32" t="s">
        <v>174</v>
      </c>
      <c r="P32" t="s">
        <v>175</v>
      </c>
    </row>
    <row r="33" spans="1:17">
      <c r="A33" s="24" t="s">
        <v>176</v>
      </c>
      <c r="B33" s="24">
        <v>15440662</v>
      </c>
      <c r="C33" s="24" t="s">
        <v>84</v>
      </c>
      <c r="D33" s="25">
        <v>45981</v>
      </c>
      <c r="E33" s="24" t="s">
        <v>86</v>
      </c>
      <c r="F33" s="25">
        <v>45982</v>
      </c>
      <c r="G33" s="24" t="s">
        <v>85</v>
      </c>
      <c r="H33" s="24" t="s">
        <v>31</v>
      </c>
      <c r="I33" s="24" t="s">
        <v>30</v>
      </c>
      <c r="J33" s="24" t="s">
        <v>127</v>
      </c>
      <c r="K33" s="24">
        <v>6851544</v>
      </c>
      <c r="N33" t="s">
        <v>177</v>
      </c>
      <c r="O33" t="s">
        <v>178</v>
      </c>
      <c r="P33" t="s">
        <v>175</v>
      </c>
    </row>
    <row r="34" spans="1:17">
      <c r="A34" s="24" t="s">
        <v>179</v>
      </c>
      <c r="B34" s="24">
        <v>15440633</v>
      </c>
      <c r="C34" s="24" t="s">
        <v>84</v>
      </c>
      <c r="D34" s="25">
        <v>45982</v>
      </c>
      <c r="E34" s="24" t="s">
        <v>85</v>
      </c>
      <c r="F34" s="25">
        <v>45984</v>
      </c>
      <c r="G34" s="24" t="s">
        <v>86</v>
      </c>
      <c r="H34" s="24" t="s">
        <v>31</v>
      </c>
      <c r="I34" s="24" t="s">
        <v>30</v>
      </c>
      <c r="J34" s="24" t="s">
        <v>127</v>
      </c>
      <c r="K34" s="24">
        <v>584083</v>
      </c>
      <c r="L34" t="s">
        <v>139</v>
      </c>
      <c r="N34" t="s">
        <v>180</v>
      </c>
      <c r="O34" t="s">
        <v>181</v>
      </c>
      <c r="Q34" t="s">
        <v>147</v>
      </c>
    </row>
    <row r="35" spans="1:17">
      <c r="A35" s="24" t="s">
        <v>182</v>
      </c>
      <c r="B35" s="24">
        <v>15464416</v>
      </c>
      <c r="C35" s="24" t="s">
        <v>84</v>
      </c>
      <c r="D35" s="25">
        <v>45984</v>
      </c>
      <c r="E35" s="24" t="s">
        <v>86</v>
      </c>
      <c r="F35" s="25">
        <v>45985</v>
      </c>
      <c r="G35" s="24" t="s">
        <v>85</v>
      </c>
      <c r="H35" s="24" t="s">
        <v>143</v>
      </c>
      <c r="I35" s="24" t="s">
        <v>30</v>
      </c>
      <c r="J35" s="24" t="s">
        <v>183</v>
      </c>
      <c r="K35" s="24">
        <v>6851594</v>
      </c>
      <c r="N35" t="s">
        <v>184</v>
      </c>
      <c r="O35" t="s">
        <v>185</v>
      </c>
      <c r="Q35" t="s">
        <v>101</v>
      </c>
    </row>
    <row r="36" spans="1:17">
      <c r="A36" s="24" t="s">
        <v>186</v>
      </c>
      <c r="B36" s="24">
        <v>15464688</v>
      </c>
      <c r="C36" s="24" t="s">
        <v>84</v>
      </c>
      <c r="D36" s="25">
        <v>45985</v>
      </c>
      <c r="E36" s="24" t="s">
        <v>85</v>
      </c>
      <c r="F36" s="25">
        <v>45985</v>
      </c>
      <c r="G36" s="24" t="s">
        <v>86</v>
      </c>
      <c r="H36" s="24" t="s">
        <v>31</v>
      </c>
      <c r="I36" s="24" t="s">
        <v>30</v>
      </c>
      <c r="J36" s="24" t="s">
        <v>187</v>
      </c>
      <c r="K36" s="24">
        <v>584271</v>
      </c>
      <c r="N36" t="s">
        <v>188</v>
      </c>
      <c r="O36" t="s">
        <v>189</v>
      </c>
    </row>
    <row r="37" spans="1:17">
      <c r="A37" s="24" t="s">
        <v>190</v>
      </c>
      <c r="B37" s="24">
        <v>15464436</v>
      </c>
      <c r="C37" s="24" t="s">
        <v>84</v>
      </c>
      <c r="D37" s="25">
        <v>45985</v>
      </c>
      <c r="E37" s="24" t="s">
        <v>86</v>
      </c>
      <c r="F37" s="25">
        <v>45986</v>
      </c>
      <c r="G37" s="24" t="s">
        <v>85</v>
      </c>
      <c r="H37" s="24" t="s">
        <v>31</v>
      </c>
      <c r="I37" s="24" t="s">
        <v>30</v>
      </c>
      <c r="J37" s="24" t="s">
        <v>187</v>
      </c>
      <c r="K37" s="24">
        <v>6851621</v>
      </c>
      <c r="N37" t="s">
        <v>191</v>
      </c>
      <c r="O37" t="s">
        <v>192</v>
      </c>
    </row>
    <row r="38" spans="1:17">
      <c r="A38" s="24" t="s">
        <v>193</v>
      </c>
      <c r="B38" s="24">
        <v>15464538</v>
      </c>
      <c r="C38" s="24" t="s">
        <v>84</v>
      </c>
      <c r="D38" s="25">
        <v>45986</v>
      </c>
      <c r="E38" s="24" t="s">
        <v>85</v>
      </c>
      <c r="F38" s="25">
        <v>45988</v>
      </c>
      <c r="G38" s="24" t="s">
        <v>86</v>
      </c>
      <c r="H38" s="24" t="s">
        <v>31</v>
      </c>
      <c r="I38" s="24" t="s">
        <v>30</v>
      </c>
      <c r="J38" s="24" t="s">
        <v>117</v>
      </c>
      <c r="K38" s="24">
        <v>584150</v>
      </c>
      <c r="L38" t="s">
        <v>91</v>
      </c>
      <c r="N38" t="s">
        <v>194</v>
      </c>
      <c r="O38" t="s">
        <v>195</v>
      </c>
      <c r="Q38" t="s">
        <v>101</v>
      </c>
    </row>
    <row r="39" spans="1:17">
      <c r="A39" s="24" t="s">
        <v>196</v>
      </c>
      <c r="B39" s="24">
        <v>15464705</v>
      </c>
      <c r="C39" s="24" t="s">
        <v>84</v>
      </c>
      <c r="D39" s="25">
        <v>45988</v>
      </c>
      <c r="E39" s="24" t="s">
        <v>86</v>
      </c>
      <c r="F39" s="25">
        <v>45989</v>
      </c>
      <c r="G39" s="24" t="s">
        <v>85</v>
      </c>
      <c r="H39" s="24" t="s">
        <v>31</v>
      </c>
      <c r="I39" s="24" t="s">
        <v>30</v>
      </c>
      <c r="J39" s="24" t="s">
        <v>117</v>
      </c>
      <c r="K39" s="24">
        <v>6851664</v>
      </c>
      <c r="L39" t="s">
        <v>91</v>
      </c>
      <c r="N39" t="s">
        <v>197</v>
      </c>
      <c r="O39" t="s">
        <v>198</v>
      </c>
      <c r="Q39" t="s">
        <v>101</v>
      </c>
    </row>
    <row r="40" spans="1:17">
      <c r="A40" s="24" t="s">
        <v>199</v>
      </c>
      <c r="B40" s="24">
        <v>15464776</v>
      </c>
      <c r="C40" s="24" t="s">
        <v>84</v>
      </c>
      <c r="D40" s="25">
        <v>45989</v>
      </c>
      <c r="E40" s="24" t="s">
        <v>85</v>
      </c>
      <c r="F40" s="25">
        <v>45931</v>
      </c>
      <c r="G40" s="24" t="s">
        <v>86</v>
      </c>
      <c r="H40" s="24" t="s">
        <v>31</v>
      </c>
      <c r="I40" s="24" t="s">
        <v>30</v>
      </c>
      <c r="J40" s="24" t="s">
        <v>157</v>
      </c>
      <c r="K40" s="24">
        <v>584829</v>
      </c>
      <c r="N40" t="s">
        <v>200</v>
      </c>
      <c r="O40" t="s">
        <v>201</v>
      </c>
    </row>
    <row r="41" spans="1:17"/>
    <row r="42" spans="1:17"/>
    <row r="48" spans="1:17" ht="15.75" customHeight="1">
      <c r="A48" s="24" t="s">
        <v>202</v>
      </c>
      <c r="B48" s="24">
        <v>15401965</v>
      </c>
      <c r="C48" s="24" t="s">
        <v>84</v>
      </c>
      <c r="D48" s="25">
        <v>45968</v>
      </c>
      <c r="E48" s="24" t="s">
        <v>86</v>
      </c>
      <c r="F48" s="25">
        <v>45969</v>
      </c>
      <c r="G48" s="24" t="s">
        <v>85</v>
      </c>
      <c r="H48" s="24" t="s">
        <v>31</v>
      </c>
      <c r="I48" s="24" t="s">
        <v>30</v>
      </c>
      <c r="J48" s="24" t="s">
        <v>112</v>
      </c>
      <c r="K48" s="24">
        <v>6851228</v>
      </c>
      <c r="N48" t="s">
        <v>203</v>
      </c>
      <c r="O48" t="s">
        <v>204</v>
      </c>
      <c r="P48" t="s">
        <v>205</v>
      </c>
    </row>
    <row r="49" spans="1:17" ht="15.75" customHeight="1">
      <c r="A49" s="24" t="s">
        <v>206</v>
      </c>
      <c r="B49" s="24">
        <v>15401949</v>
      </c>
      <c r="C49" s="24" t="s">
        <v>84</v>
      </c>
      <c r="D49" s="25">
        <v>45969</v>
      </c>
      <c r="E49" s="24" t="s">
        <v>85</v>
      </c>
      <c r="F49" s="25">
        <v>45969</v>
      </c>
      <c r="G49" s="24" t="s">
        <v>86</v>
      </c>
      <c r="H49" s="24" t="s">
        <v>134</v>
      </c>
      <c r="I49" s="24" t="s">
        <v>30</v>
      </c>
      <c r="J49" s="24" t="s">
        <v>207</v>
      </c>
      <c r="K49" s="24">
        <v>581993</v>
      </c>
      <c r="N49" t="s">
        <v>208</v>
      </c>
      <c r="O49" t="s">
        <v>209</v>
      </c>
      <c r="P49" t="s">
        <v>205</v>
      </c>
      <c r="Q49" t="s">
        <v>101</v>
      </c>
    </row>
    <row r="50" spans="1:17" ht="15.75" customHeight="1">
      <c r="A50" s="67" t="s">
        <v>210</v>
      </c>
      <c r="B50" s="67">
        <v>15417192</v>
      </c>
      <c r="C50" s="67" t="s">
        <v>84</v>
      </c>
      <c r="D50" s="68">
        <v>45977</v>
      </c>
      <c r="E50" s="67" t="s">
        <v>86</v>
      </c>
      <c r="F50" s="68">
        <v>45977</v>
      </c>
      <c r="G50" s="67" t="s">
        <v>85</v>
      </c>
      <c r="H50" s="67" t="s">
        <v>31</v>
      </c>
      <c r="I50" s="67" t="s">
        <v>30</v>
      </c>
      <c r="J50" s="67" t="s">
        <v>152</v>
      </c>
      <c r="K50" s="67">
        <v>6851405</v>
      </c>
      <c r="L50" s="38"/>
      <c r="M50" s="38"/>
      <c r="N50" s="38" t="s">
        <v>211</v>
      </c>
      <c r="O50" s="38" t="s">
        <v>212</v>
      </c>
      <c r="P50" s="38" t="s">
        <v>213</v>
      </c>
      <c r="Q50" s="38" t="s">
        <v>101</v>
      </c>
    </row>
    <row r="51" spans="1:17" ht="15.75" customHeight="1">
      <c r="A51" s="67" t="s">
        <v>214</v>
      </c>
      <c r="B51" s="67">
        <v>15417510</v>
      </c>
      <c r="C51" s="67" t="s">
        <v>84</v>
      </c>
      <c r="D51" s="68">
        <v>45977</v>
      </c>
      <c r="E51" s="67" t="s">
        <v>85</v>
      </c>
      <c r="F51" s="68">
        <v>45978</v>
      </c>
      <c r="G51" s="67" t="s">
        <v>86</v>
      </c>
      <c r="H51" s="67" t="s">
        <v>31</v>
      </c>
      <c r="I51" s="67" t="s">
        <v>30</v>
      </c>
      <c r="J51" s="67" t="s">
        <v>157</v>
      </c>
      <c r="K51" s="67">
        <v>583002</v>
      </c>
      <c r="L51" s="38"/>
      <c r="M51" s="38"/>
      <c r="N51" s="38" t="s">
        <v>215</v>
      </c>
      <c r="O51" s="38" t="s">
        <v>216</v>
      </c>
      <c r="P51" s="38" t="s">
        <v>213</v>
      </c>
      <c r="Q51" s="38"/>
    </row>
  </sheetData>
  <sortState xmlns:xlrd2="http://schemas.microsoft.com/office/spreadsheetml/2017/richdata2" ref="A10:U40">
    <sortCondition ref="D10:D4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2FF-67A2-4377-93F4-30D230410825}">
  <sheetPr>
    <pageSetUpPr fitToPage="1"/>
  </sheetPr>
  <dimension ref="A1:AX54"/>
  <sheetViews>
    <sheetView tabSelected="1" topLeftCell="G1" workbookViewId="0">
      <selection activeCell="X47" sqref="X47"/>
    </sheetView>
  </sheetViews>
  <sheetFormatPr defaultRowHeight="15.75"/>
  <cols>
    <col min="6" max="6" width="10.5" customWidth="1"/>
    <col min="7" max="7" width="10.625" bestFit="1" customWidth="1"/>
    <col min="11" max="11" width="35.875" bestFit="1" customWidth="1"/>
    <col min="13" max="13" width="10.625" bestFit="1" customWidth="1"/>
    <col min="15" max="16" width="10.625" bestFit="1" customWidth="1"/>
    <col min="18" max="18" width="11.75" bestFit="1" customWidth="1"/>
    <col min="19" max="19" width="9.625" bestFit="1" customWidth="1"/>
    <col min="24" max="24" width="53.75" customWidth="1"/>
  </cols>
  <sheetData>
    <row r="1" spans="1:47">
      <c r="R1" s="18"/>
    </row>
    <row r="2" spans="1:47" ht="21" customHeight="1">
      <c r="A2" s="74" t="s">
        <v>217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R2" s="40" t="s">
        <v>218</v>
      </c>
      <c r="S2" s="41" t="s">
        <v>31</v>
      </c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>
      <c r="R3" s="40" t="s">
        <v>219</v>
      </c>
      <c r="S3" s="42">
        <v>45962</v>
      </c>
    </row>
    <row r="4" spans="1:47">
      <c r="R4" s="18"/>
    </row>
    <row r="5" spans="1:47">
      <c r="R5" s="75" t="s">
        <v>220</v>
      </c>
      <c r="S5" s="75"/>
      <c r="T5" s="75"/>
      <c r="U5" s="75"/>
      <c r="V5" s="75"/>
    </row>
    <row r="6" spans="1:47">
      <c r="R6" s="76" t="s">
        <v>221</v>
      </c>
      <c r="S6" s="76"/>
      <c r="T6" s="76"/>
      <c r="U6" s="76"/>
      <c r="V6" s="76"/>
    </row>
    <row r="7" spans="1:47">
      <c r="R7" s="18"/>
    </row>
    <row r="8" spans="1:47" ht="21">
      <c r="C8" s="11" t="s">
        <v>63</v>
      </c>
      <c r="K8" s="12" t="str">
        <f>$S$2&amp;" | Unsafe Point: "&amp;G40</f>
        <v>Manjinder Bajwa | Unsafe Point: 0</v>
      </c>
      <c r="R8" s="72" t="s">
        <v>222</v>
      </c>
      <c r="S8" s="72"/>
      <c r="T8" s="72"/>
      <c r="U8" s="72"/>
      <c r="V8" s="35" t="s">
        <v>223</v>
      </c>
      <c r="X8" s="43" t="s">
        <v>82</v>
      </c>
      <c r="AI8" s="11"/>
      <c r="AQ8" s="12"/>
    </row>
    <row r="9" spans="1:47">
      <c r="C9" t="s">
        <v>64</v>
      </c>
      <c r="K9" t="str">
        <f>"Date: "&amp;TEXT(K16,"MM/dd/yyyy")&amp;"-"&amp;TEXT(EOMONTH(K16,0),"MM/dd/yyyy")</f>
        <v>Date: 11/01/2025-11/30/2025</v>
      </c>
      <c r="R9" s="44" t="s">
        <v>224</v>
      </c>
      <c r="S9" s="14" t="s">
        <v>225</v>
      </c>
      <c r="T9" s="14" t="s">
        <v>226</v>
      </c>
      <c r="U9" s="14" t="s">
        <v>227</v>
      </c>
      <c r="V9" s="14" t="s">
        <v>228</v>
      </c>
      <c r="X9" s="14" t="s">
        <v>229</v>
      </c>
    </row>
    <row r="10" spans="1:47" ht="18.75">
      <c r="C10" t="s">
        <v>66</v>
      </c>
      <c r="K10" s="13" t="str">
        <f>"Total: "&amp;TEXT(M20,"$#,##0.00")</f>
        <v>Total: $7,524.55</v>
      </c>
      <c r="R10" s="18">
        <v>45962</v>
      </c>
      <c r="S10">
        <v>57685</v>
      </c>
      <c r="T10">
        <v>57858</v>
      </c>
      <c r="U10">
        <f>T10-S10</f>
        <v>173</v>
      </c>
      <c r="V10">
        <f>S11-T10</f>
        <v>0</v>
      </c>
      <c r="AQ10" s="13"/>
    </row>
    <row r="11" spans="1:47">
      <c r="R11" s="18">
        <v>45963</v>
      </c>
      <c r="S11">
        <v>57858</v>
      </c>
      <c r="T11">
        <v>57858</v>
      </c>
      <c r="U11">
        <f t="shared" ref="U11:U19" si="0">T11-S11</f>
        <v>0</v>
      </c>
      <c r="V11">
        <f t="shared" ref="V11:V19" si="1">S12-T11</f>
        <v>0</v>
      </c>
    </row>
    <row r="12" spans="1:47">
      <c r="R12" s="18">
        <v>45964</v>
      </c>
      <c r="S12">
        <v>57858</v>
      </c>
      <c r="T12">
        <v>57858</v>
      </c>
      <c r="U12">
        <f t="shared" si="0"/>
        <v>0</v>
      </c>
      <c r="V12" s="34">
        <f t="shared" si="1"/>
        <v>428</v>
      </c>
      <c r="X12" t="s">
        <v>230</v>
      </c>
      <c r="Y12" t="s">
        <v>231</v>
      </c>
    </row>
    <row r="13" spans="1:47">
      <c r="R13" s="18">
        <v>45964</v>
      </c>
      <c r="S13">
        <v>58286</v>
      </c>
      <c r="T13">
        <v>58924</v>
      </c>
      <c r="U13">
        <f t="shared" si="0"/>
        <v>638</v>
      </c>
      <c r="V13">
        <f t="shared" si="1"/>
        <v>0</v>
      </c>
    </row>
    <row r="14" spans="1:47">
      <c r="R14" s="18">
        <v>45965</v>
      </c>
      <c r="S14">
        <v>58924</v>
      </c>
      <c r="T14">
        <v>59067</v>
      </c>
      <c r="U14">
        <f t="shared" si="0"/>
        <v>143</v>
      </c>
      <c r="V14" s="64">
        <f t="shared" si="1"/>
        <v>136</v>
      </c>
    </row>
    <row r="15" spans="1:47">
      <c r="A15" s="14" t="s">
        <v>232</v>
      </c>
      <c r="B15" s="14"/>
      <c r="C15" s="14"/>
      <c r="D15" s="14" t="s">
        <v>76</v>
      </c>
      <c r="E15" s="14"/>
      <c r="F15" s="14"/>
      <c r="G15" s="14" t="s">
        <v>233</v>
      </c>
      <c r="H15" s="14"/>
      <c r="I15" s="14" t="s">
        <v>234</v>
      </c>
      <c r="J15" s="14"/>
      <c r="K15" s="77" t="s">
        <v>235</v>
      </c>
      <c r="L15" s="77"/>
      <c r="M15" s="77"/>
      <c r="N15" s="14"/>
      <c r="O15" s="14" t="s">
        <v>236</v>
      </c>
      <c r="R15" s="18">
        <v>45965</v>
      </c>
      <c r="S15">
        <v>59203</v>
      </c>
      <c r="T15">
        <v>59587</v>
      </c>
      <c r="U15">
        <f t="shared" si="0"/>
        <v>384</v>
      </c>
      <c r="V15">
        <f t="shared" si="1"/>
        <v>0</v>
      </c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</row>
    <row r="16" spans="1:47">
      <c r="A16" t="s">
        <v>63</v>
      </c>
      <c r="D16" t="str">
        <f>$S$2</f>
        <v>Manjinder Bajwa</v>
      </c>
      <c r="G16" t="s">
        <v>237</v>
      </c>
      <c r="I16" s="45">
        <v>0.55000000000000004</v>
      </c>
      <c r="K16" s="46">
        <f>S3</f>
        <v>45962</v>
      </c>
      <c r="L16" s="47" t="s">
        <v>238</v>
      </c>
      <c r="M16" s="25">
        <f>EOMONTH(K16,0)</f>
        <v>45991</v>
      </c>
      <c r="O16" s="25">
        <f>EOMONTH(S3,0)</f>
        <v>45991</v>
      </c>
      <c r="R16" s="18">
        <v>45966</v>
      </c>
      <c r="S16">
        <v>59587</v>
      </c>
      <c r="T16">
        <v>60274</v>
      </c>
      <c r="U16">
        <f t="shared" si="0"/>
        <v>687</v>
      </c>
      <c r="V16">
        <f t="shared" si="1"/>
        <v>0</v>
      </c>
      <c r="AO16" s="51"/>
      <c r="AU16" s="18"/>
    </row>
    <row r="17" spans="1:47">
      <c r="R17" s="18">
        <v>45967</v>
      </c>
      <c r="S17">
        <v>60274</v>
      </c>
      <c r="T17">
        <v>60274</v>
      </c>
      <c r="U17">
        <f t="shared" si="0"/>
        <v>0</v>
      </c>
      <c r="V17" s="64">
        <f t="shared" si="1"/>
        <v>15</v>
      </c>
    </row>
    <row r="18" spans="1:47" ht="18.75">
      <c r="I18" s="15" t="s">
        <v>239</v>
      </c>
      <c r="J18" s="10"/>
      <c r="K18" s="10"/>
      <c r="L18" s="10"/>
      <c r="M18" s="10"/>
      <c r="N18" s="10"/>
      <c r="O18" s="10"/>
      <c r="R18" s="18">
        <v>45967</v>
      </c>
      <c r="S18">
        <v>60289</v>
      </c>
      <c r="T18">
        <v>60981</v>
      </c>
      <c r="U18">
        <f t="shared" si="0"/>
        <v>692</v>
      </c>
      <c r="V18">
        <f t="shared" si="1"/>
        <v>0</v>
      </c>
      <c r="AO18" s="52"/>
    </row>
    <row r="19" spans="1:47">
      <c r="I19" t="s">
        <v>240</v>
      </c>
      <c r="M19" s="70">
        <f>O31*I16</f>
        <v>7524.55</v>
      </c>
      <c r="N19" s="70"/>
      <c r="R19" s="18">
        <v>45968</v>
      </c>
      <c r="S19">
        <v>60981</v>
      </c>
      <c r="T19">
        <v>61048</v>
      </c>
      <c r="U19">
        <f t="shared" si="0"/>
        <v>67</v>
      </c>
      <c r="V19" s="64">
        <f t="shared" si="1"/>
        <v>134</v>
      </c>
      <c r="AS19" s="60"/>
      <c r="AT19" s="60"/>
    </row>
    <row r="20" spans="1:47" ht="18.75">
      <c r="I20" s="16" t="s">
        <v>241</v>
      </c>
      <c r="J20" s="10"/>
      <c r="K20" s="10"/>
      <c r="L20" s="10"/>
      <c r="M20" s="71">
        <f>M19</f>
        <v>7524.55</v>
      </c>
      <c r="N20" s="71"/>
      <c r="O20" s="10"/>
      <c r="R20" s="18">
        <v>45968</v>
      </c>
      <c r="S20">
        <v>61182</v>
      </c>
      <c r="T20">
        <v>61939</v>
      </c>
      <c r="U20" s="34">
        <f t="shared" ref="U20:U33" si="2">T20-S20</f>
        <v>757</v>
      </c>
      <c r="V20">
        <f t="shared" ref="V20:V33" si="3">S21-T20</f>
        <v>0</v>
      </c>
      <c r="X20" t="s">
        <v>242</v>
      </c>
      <c r="AO20" s="53"/>
      <c r="AS20" s="61"/>
      <c r="AT20" s="61"/>
    </row>
    <row r="21" spans="1:47">
      <c r="R21" s="18">
        <v>45969</v>
      </c>
      <c r="S21">
        <v>61939</v>
      </c>
      <c r="T21">
        <v>61939</v>
      </c>
      <c r="U21">
        <f t="shared" si="2"/>
        <v>0</v>
      </c>
      <c r="V21">
        <f t="shared" si="3"/>
        <v>0</v>
      </c>
    </row>
    <row r="22" spans="1:47" ht="21">
      <c r="A22" s="72" t="str">
        <f>"Weekly - "&amp;D16&amp;" Miles Service Information"</f>
        <v>Weekly - Manjinder Bajwa Miles Service Information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R22" s="18">
        <v>45969</v>
      </c>
      <c r="S22">
        <v>61939</v>
      </c>
      <c r="T22">
        <v>62632</v>
      </c>
      <c r="U22">
        <f t="shared" si="2"/>
        <v>693</v>
      </c>
      <c r="V22">
        <f t="shared" si="3"/>
        <v>0</v>
      </c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</row>
    <row r="23" spans="1:47">
      <c r="A23" s="23" t="s">
        <v>243</v>
      </c>
      <c r="B23" s="17"/>
      <c r="C23" s="17"/>
      <c r="D23" s="14" t="s">
        <v>244</v>
      </c>
      <c r="E23" s="17"/>
      <c r="F23" s="14" t="s">
        <v>224</v>
      </c>
      <c r="G23" s="17"/>
      <c r="H23" s="14" t="s">
        <v>245</v>
      </c>
      <c r="I23" s="17"/>
      <c r="J23" s="17"/>
      <c r="K23" s="17"/>
      <c r="L23" s="17"/>
      <c r="M23" s="17"/>
      <c r="N23" s="17"/>
      <c r="O23" s="14" t="s">
        <v>246</v>
      </c>
      <c r="R23" s="18">
        <v>45970</v>
      </c>
      <c r="S23">
        <v>62632</v>
      </c>
      <c r="T23">
        <v>62696</v>
      </c>
      <c r="U23">
        <f t="shared" si="2"/>
        <v>64</v>
      </c>
      <c r="V23">
        <f t="shared" si="3"/>
        <v>0</v>
      </c>
      <c r="AG23" s="22"/>
      <c r="AH23" s="54"/>
      <c r="AI23" s="54"/>
      <c r="AJ23" s="50"/>
      <c r="AK23" s="54"/>
      <c r="AL23" s="50"/>
      <c r="AM23" s="54"/>
      <c r="AN23" s="50"/>
      <c r="AO23" s="54"/>
      <c r="AP23" s="54"/>
      <c r="AQ23" s="54"/>
      <c r="AR23" s="54"/>
      <c r="AS23" s="54"/>
      <c r="AT23" s="54"/>
      <c r="AU23" s="50"/>
    </row>
    <row r="24" spans="1:47">
      <c r="A24" t="s">
        <v>247</v>
      </c>
      <c r="D24" t="str">
        <f>IF(ISBLANK(A24),"",$S$2)</f>
        <v>Manjinder Bajwa</v>
      </c>
      <c r="F24" s="18">
        <f>K16</f>
        <v>45962</v>
      </c>
      <c r="H24" t="str">
        <f>IF(ISBLANK(A24),"","LL")</f>
        <v>LL</v>
      </c>
      <c r="O24" s="48">
        <v>0</v>
      </c>
      <c r="R24" s="18">
        <v>45971</v>
      </c>
      <c r="S24">
        <v>62696</v>
      </c>
      <c r="T24">
        <v>62696</v>
      </c>
      <c r="U24">
        <f t="shared" si="2"/>
        <v>0</v>
      </c>
      <c r="V24" s="64">
        <f t="shared" si="3"/>
        <v>134</v>
      </c>
      <c r="Y24" t="s">
        <v>248</v>
      </c>
      <c r="AL24" s="18"/>
      <c r="AU24" s="48"/>
    </row>
    <row r="25" spans="1:47">
      <c r="A25" t="s">
        <v>247</v>
      </c>
      <c r="D25" t="str">
        <f t="shared" ref="D25:D30" si="4">IF(ISBLANK(A25),"",$S$2)</f>
        <v>Manjinder Bajwa</v>
      </c>
      <c r="F25" s="18">
        <f>F24 + MOD(6 - WEEKDAY(F24, 2), 7)</f>
        <v>45962</v>
      </c>
      <c r="H25" t="str">
        <f t="shared" ref="H25:H30" si="5">IF(ISBLANK(A25),"","LL")</f>
        <v>LL</v>
      </c>
      <c r="O25" s="48">
        <f>IF(ISBLANK(F25),"",SUMIFS($U$10:$U$55,$R$10:$R$55,IF(ROW()=25,"&gt;=" &amp; $F$24,"&gt;" &amp; F24),$R$10:$R$55,"&lt;="&amp;F25))</f>
        <v>173</v>
      </c>
      <c r="R25" s="18">
        <v>45971</v>
      </c>
      <c r="S25">
        <v>62830</v>
      </c>
      <c r="T25">
        <v>63013</v>
      </c>
      <c r="U25">
        <f t="shared" si="2"/>
        <v>183</v>
      </c>
      <c r="V25">
        <f t="shared" si="3"/>
        <v>0</v>
      </c>
      <c r="AL25" s="18"/>
      <c r="AU25" s="48"/>
    </row>
    <row r="26" spans="1:47">
      <c r="A26" t="s">
        <v>247</v>
      </c>
      <c r="D26" t="str">
        <f t="shared" si="4"/>
        <v>Manjinder Bajwa</v>
      </c>
      <c r="F26" s="18">
        <f>IF(F25="", "", IF(F25=EOMONTH($F$24,0), "", IF(MONTH(F25 + 7) = MONTH($F$24), F25 + 7, IF(DAY(F25)=DAY(EOMONTH($F$24,0)), "", EOMONTH($F$24,0)))))</f>
        <v>45969</v>
      </c>
      <c r="H26" t="str">
        <f t="shared" si="5"/>
        <v>LL</v>
      </c>
      <c r="O26" s="48">
        <f t="shared" ref="O26:O30" si="6">IF(ISBLANK(F26),"",SUMIFS($U$10:$U$55,$R$10:$R$55,IF(ROW()=25,"&gt;=" &amp; $F$24,"&gt;" &amp; F25),$R$10:$R$55,"&lt;="&amp;F26))</f>
        <v>4061</v>
      </c>
      <c r="R26" s="18">
        <v>45972</v>
      </c>
      <c r="S26">
        <v>63013</v>
      </c>
      <c r="T26">
        <v>63534</v>
      </c>
      <c r="U26">
        <f t="shared" si="2"/>
        <v>521</v>
      </c>
      <c r="V26">
        <f t="shared" si="3"/>
        <v>0</v>
      </c>
      <c r="AL26" s="18"/>
      <c r="AU26" s="48"/>
    </row>
    <row r="27" spans="1:47">
      <c r="A27" t="s">
        <v>247</v>
      </c>
      <c r="D27" t="str">
        <f t="shared" si="4"/>
        <v>Manjinder Bajwa</v>
      </c>
      <c r="F27" s="18">
        <f>IF(F26="", "", IF(F26=EOMONTH($F$24,0), "", IF(MONTH(F26 + 7) = MONTH($F$24), F26 + 7, IF(DAY(F26)=DAY(EOMONTH($F$24,0)), "", EOMONTH($F$24,0)))))</f>
        <v>45976</v>
      </c>
      <c r="H27" t="str">
        <f t="shared" si="5"/>
        <v>LL</v>
      </c>
      <c r="O27" s="48">
        <f t="shared" si="6"/>
        <v>3182</v>
      </c>
      <c r="R27" s="18">
        <v>45973</v>
      </c>
      <c r="S27">
        <v>63534</v>
      </c>
      <c r="T27">
        <v>63597</v>
      </c>
      <c r="U27">
        <f t="shared" si="2"/>
        <v>63</v>
      </c>
      <c r="V27" s="64">
        <f t="shared" si="3"/>
        <v>135</v>
      </c>
      <c r="AL27" s="18"/>
      <c r="AU27" s="48"/>
    </row>
    <row r="28" spans="1:47">
      <c r="A28" t="s">
        <v>247</v>
      </c>
      <c r="D28" t="str">
        <f t="shared" si="4"/>
        <v>Manjinder Bajwa</v>
      </c>
      <c r="F28" s="18">
        <f>IF(F27="", "", IF(F27=EOMONTH($F$24,0), "", IF(MONTH(F27 + 7) = MONTH($F$24), F27 + 7, IF(DAY(F27)=DAY(EOMONTH($F$24,0)), "", EOMONTH($F$24,0)))))</f>
        <v>45983</v>
      </c>
      <c r="H28" t="str">
        <f t="shared" si="5"/>
        <v>LL</v>
      </c>
      <c r="O28" s="48">
        <f t="shared" si="6"/>
        <v>3976</v>
      </c>
      <c r="R28" s="18">
        <v>45973</v>
      </c>
      <c r="S28">
        <v>63732</v>
      </c>
      <c r="T28">
        <v>64176</v>
      </c>
      <c r="U28">
        <f t="shared" si="2"/>
        <v>444</v>
      </c>
      <c r="V28">
        <f t="shared" si="3"/>
        <v>0</v>
      </c>
      <c r="AL28" s="18"/>
      <c r="AU28" s="48"/>
    </row>
    <row r="29" spans="1:47">
      <c r="A29" t="s">
        <v>247</v>
      </c>
      <c r="D29" t="str">
        <f t="shared" si="4"/>
        <v>Manjinder Bajwa</v>
      </c>
      <c r="F29" s="18">
        <f>IF(F28="", "", IF(F28=EOMONTH($F$24,0), "", IF(MONTH(F28 + 7) = MONTH($F$24), F28 + 7, IF(DAY(F28)=DAY(EOMONTH($F$24,0)), "", EOMONTH($F$24,0)))))</f>
        <v>45990</v>
      </c>
      <c r="H29" t="str">
        <f t="shared" si="5"/>
        <v>LL</v>
      </c>
      <c r="O29" s="48">
        <f t="shared" si="6"/>
        <v>2289</v>
      </c>
      <c r="R29" s="18">
        <v>45974</v>
      </c>
      <c r="S29">
        <v>64176</v>
      </c>
      <c r="T29">
        <v>64945</v>
      </c>
      <c r="U29">
        <f t="shared" si="2"/>
        <v>769</v>
      </c>
      <c r="V29">
        <f t="shared" si="3"/>
        <v>0</v>
      </c>
      <c r="Y29" t="s">
        <v>249</v>
      </c>
      <c r="AL29" s="18"/>
      <c r="AU29" s="48"/>
    </row>
    <row r="30" spans="1:47">
      <c r="A30" t="s">
        <v>247</v>
      </c>
      <c r="D30" t="str">
        <f t="shared" si="4"/>
        <v>Manjinder Bajwa</v>
      </c>
      <c r="F30" s="18">
        <f>IF(F29="", "", IF(F29=EOMONTH($F$24,0), "", IF(MONTH(F29 + 7) = MONTH($F$24), F29 + 7, IF(DAY(F29)=DAY(EOMONTH($F$24,0)), "", EOMONTH($F$24,0)))))</f>
        <v>45991</v>
      </c>
      <c r="H30" t="str">
        <f t="shared" si="5"/>
        <v>LL</v>
      </c>
      <c r="O30" s="48">
        <f t="shared" si="6"/>
        <v>0</v>
      </c>
      <c r="R30" s="18">
        <v>45975</v>
      </c>
      <c r="S30">
        <v>64945</v>
      </c>
      <c r="T30">
        <v>65324</v>
      </c>
      <c r="U30">
        <f t="shared" si="2"/>
        <v>379</v>
      </c>
      <c r="V30" s="64">
        <f t="shared" si="3"/>
        <v>138</v>
      </c>
      <c r="W30" s="7"/>
      <c r="X30" s="7"/>
      <c r="Y30" s="7" t="s">
        <v>250</v>
      </c>
      <c r="AL30" s="18"/>
      <c r="AU30" s="48"/>
    </row>
    <row r="31" spans="1:4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9" t="s">
        <v>251</v>
      </c>
      <c r="O31" s="49">
        <f>SUM(O24:O30)</f>
        <v>13681</v>
      </c>
      <c r="R31" s="18">
        <v>45975</v>
      </c>
      <c r="S31">
        <v>65462</v>
      </c>
      <c r="T31">
        <v>65562</v>
      </c>
      <c r="U31">
        <f t="shared" si="2"/>
        <v>100</v>
      </c>
      <c r="V31">
        <f t="shared" si="3"/>
        <v>0</v>
      </c>
      <c r="AL31" s="18"/>
      <c r="AU31" s="48"/>
    </row>
    <row r="32" spans="1:47">
      <c r="R32" s="18">
        <v>45976</v>
      </c>
      <c r="S32">
        <v>65562</v>
      </c>
      <c r="T32">
        <v>66221</v>
      </c>
      <c r="U32">
        <f t="shared" si="2"/>
        <v>659</v>
      </c>
      <c r="V32">
        <f t="shared" si="3"/>
        <v>0</v>
      </c>
      <c r="AL32" s="18"/>
      <c r="AU32" s="48"/>
    </row>
    <row r="33" spans="1:50" ht="21">
      <c r="A33" s="72" t="s">
        <v>252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R33" s="18">
        <v>45977</v>
      </c>
      <c r="S33">
        <v>66221</v>
      </c>
      <c r="T33">
        <v>66221</v>
      </c>
      <c r="U33">
        <f t="shared" si="2"/>
        <v>0</v>
      </c>
      <c r="V33">
        <f t="shared" si="3"/>
        <v>0</v>
      </c>
      <c r="AL33" s="18"/>
      <c r="AU33" s="48"/>
    </row>
    <row r="34" spans="1:50">
      <c r="A34" s="19" t="s">
        <v>253</v>
      </c>
      <c r="B34" s="19"/>
      <c r="C34" s="19" t="s">
        <v>254</v>
      </c>
      <c r="D34" s="19"/>
      <c r="E34" s="19" t="s">
        <v>224</v>
      </c>
      <c r="F34" s="19"/>
      <c r="G34" s="19" t="s">
        <v>255</v>
      </c>
      <c r="H34" s="19"/>
      <c r="I34" s="19" t="s">
        <v>82</v>
      </c>
      <c r="J34" s="10"/>
      <c r="K34" s="10"/>
      <c r="L34" s="10"/>
      <c r="M34" s="10"/>
      <c r="N34" s="10"/>
      <c r="O34" s="10"/>
      <c r="R34" s="18">
        <v>45977</v>
      </c>
      <c r="S34">
        <v>66221</v>
      </c>
      <c r="T34">
        <v>66978</v>
      </c>
      <c r="U34" s="34">
        <f t="shared" ref="U34:U54" si="7">T34-S34</f>
        <v>757</v>
      </c>
      <c r="V34">
        <f t="shared" ref="V34:V54" si="8">S35-T34</f>
        <v>0</v>
      </c>
      <c r="X34" t="s">
        <v>256</v>
      </c>
      <c r="AL34" s="18"/>
      <c r="AU34" s="48"/>
    </row>
    <row r="35" spans="1:50">
      <c r="A35" s="7"/>
      <c r="B35" s="7"/>
      <c r="C35" s="20"/>
      <c r="D35" s="7"/>
      <c r="E35" s="21"/>
      <c r="F35" s="7"/>
      <c r="G35" s="7"/>
      <c r="H35" s="7"/>
      <c r="I35" s="73"/>
      <c r="J35" s="73"/>
      <c r="K35" s="73"/>
      <c r="L35" s="73"/>
      <c r="M35" s="73"/>
      <c r="N35" s="73"/>
      <c r="O35" s="73"/>
      <c r="P35" s="7"/>
      <c r="Q35" s="7"/>
      <c r="R35" s="18">
        <v>45978</v>
      </c>
      <c r="S35">
        <v>66978</v>
      </c>
      <c r="T35">
        <v>66978</v>
      </c>
      <c r="U35">
        <f t="shared" si="7"/>
        <v>0</v>
      </c>
      <c r="V35" s="64">
        <f t="shared" si="8"/>
        <v>133</v>
      </c>
      <c r="AL35" s="18"/>
      <c r="AU35" s="48"/>
    </row>
    <row r="36" spans="1:50">
      <c r="A36" s="7"/>
      <c r="R36" s="18">
        <v>45978</v>
      </c>
      <c r="S36">
        <v>67111</v>
      </c>
      <c r="T36">
        <v>67727</v>
      </c>
      <c r="U36">
        <f t="shared" si="7"/>
        <v>616</v>
      </c>
      <c r="V36">
        <f t="shared" si="8"/>
        <v>0</v>
      </c>
      <c r="AL36" s="18"/>
      <c r="AU36" s="48"/>
    </row>
    <row r="37" spans="1:50">
      <c r="A37" s="7"/>
      <c r="C37" s="22"/>
      <c r="E37" s="18"/>
      <c r="R37" s="18">
        <v>45979</v>
      </c>
      <c r="S37">
        <v>67727</v>
      </c>
      <c r="T37">
        <v>67870</v>
      </c>
      <c r="U37">
        <f t="shared" si="7"/>
        <v>143</v>
      </c>
      <c r="V37" s="64">
        <f t="shared" si="8"/>
        <v>133</v>
      </c>
      <c r="AL37" s="18"/>
      <c r="AU37" s="48"/>
    </row>
    <row r="38" spans="1:50">
      <c r="A38" s="7"/>
      <c r="R38" s="18">
        <v>45979</v>
      </c>
      <c r="S38">
        <v>68003</v>
      </c>
      <c r="T38">
        <v>68464</v>
      </c>
      <c r="U38">
        <f t="shared" si="7"/>
        <v>461</v>
      </c>
      <c r="V38">
        <f t="shared" si="8"/>
        <v>0</v>
      </c>
      <c r="AU38" s="48"/>
    </row>
    <row r="39" spans="1:50">
      <c r="A39" s="7"/>
      <c r="C39" s="22"/>
      <c r="E39" s="18"/>
      <c r="R39" s="18">
        <v>45980</v>
      </c>
      <c r="S39">
        <v>68464</v>
      </c>
      <c r="T39">
        <v>68789</v>
      </c>
      <c r="U39">
        <f t="shared" si="7"/>
        <v>325</v>
      </c>
      <c r="V39" s="64">
        <f t="shared" si="8"/>
        <v>135</v>
      </c>
    </row>
    <row r="40" spans="1:50" ht="21" customHeight="1">
      <c r="A40" s="10"/>
      <c r="B40" s="10"/>
      <c r="C40" s="10"/>
      <c r="D40" s="10"/>
      <c r="E40" s="10"/>
      <c r="F40" s="14" t="s">
        <v>251</v>
      </c>
      <c r="G40" s="23">
        <f>SUM(G35:G39)</f>
        <v>0</v>
      </c>
      <c r="H40" s="10"/>
      <c r="I40" s="10"/>
      <c r="J40" s="10"/>
      <c r="K40" s="10"/>
      <c r="L40" s="10"/>
      <c r="M40" s="10"/>
      <c r="N40" s="10"/>
      <c r="O40" s="10"/>
      <c r="R40" s="18">
        <v>45980</v>
      </c>
      <c r="S40">
        <v>68924</v>
      </c>
      <c r="T40">
        <v>69238</v>
      </c>
      <c r="U40">
        <f t="shared" si="7"/>
        <v>314</v>
      </c>
      <c r="V40">
        <f t="shared" si="8"/>
        <v>0</v>
      </c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</row>
    <row r="41" spans="1:50">
      <c r="R41" s="18">
        <v>45981</v>
      </c>
      <c r="S41">
        <v>69238</v>
      </c>
      <c r="T41">
        <v>69969</v>
      </c>
      <c r="U41">
        <f t="shared" si="7"/>
        <v>731</v>
      </c>
      <c r="V41">
        <f t="shared" si="8"/>
        <v>0</v>
      </c>
      <c r="AG41" s="55"/>
      <c r="AH41" s="55"/>
      <c r="AI41" s="55"/>
      <c r="AJ41" s="55"/>
      <c r="AK41" s="55"/>
      <c r="AL41" s="55"/>
      <c r="AM41" s="55"/>
      <c r="AN41" s="55"/>
      <c r="AO41" s="55"/>
    </row>
    <row r="42" spans="1:50" s="7" customFormat="1" ht="5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s="18">
        <v>45982</v>
      </c>
      <c r="S42">
        <v>69969</v>
      </c>
      <c r="T42">
        <v>70598</v>
      </c>
      <c r="U42">
        <f t="shared" si="7"/>
        <v>629</v>
      </c>
      <c r="V42">
        <f t="shared" si="8"/>
        <v>0</v>
      </c>
      <c r="W42"/>
      <c r="X42"/>
      <c r="Y42"/>
      <c r="Z42"/>
      <c r="AA42"/>
      <c r="AE42" s="56"/>
      <c r="AF42" s="56"/>
      <c r="AG42" s="56"/>
      <c r="AH42" s="56"/>
      <c r="AI42" s="57"/>
      <c r="AJ42" s="56"/>
      <c r="AK42" s="58"/>
      <c r="AL42" s="56"/>
      <c r="AM42" s="56"/>
      <c r="AN42" s="56"/>
      <c r="AO42" s="63"/>
      <c r="AP42" s="63"/>
      <c r="AQ42" s="63"/>
      <c r="AR42" s="63"/>
      <c r="AS42" s="63"/>
      <c r="AT42" s="63"/>
      <c r="AU42" s="63"/>
      <c r="AV42" s="56"/>
      <c r="AW42" s="56"/>
      <c r="AX42" s="56"/>
    </row>
    <row r="43" spans="1:50">
      <c r="R43" s="18">
        <v>45983</v>
      </c>
      <c r="S43">
        <v>70598</v>
      </c>
      <c r="T43">
        <v>70598</v>
      </c>
      <c r="U43">
        <f t="shared" si="7"/>
        <v>0</v>
      </c>
      <c r="V43">
        <f t="shared" si="8"/>
        <v>0</v>
      </c>
      <c r="Z43" s="7"/>
      <c r="AA43" s="7"/>
      <c r="AG43" s="56"/>
    </row>
    <row r="44" spans="1:50">
      <c r="R44" s="18">
        <v>45984</v>
      </c>
      <c r="S44">
        <v>70598</v>
      </c>
      <c r="T44">
        <v>70598</v>
      </c>
      <c r="U44">
        <f t="shared" si="7"/>
        <v>0</v>
      </c>
      <c r="V44" s="64">
        <f t="shared" si="8"/>
        <v>134</v>
      </c>
      <c r="Y44" t="s">
        <v>257</v>
      </c>
      <c r="AG44" s="56"/>
      <c r="AI44" s="22"/>
      <c r="AK44" s="18"/>
    </row>
    <row r="45" spans="1:50">
      <c r="A45" t="s">
        <v>258</v>
      </c>
      <c r="R45" s="18">
        <v>45984</v>
      </c>
      <c r="S45">
        <v>70732</v>
      </c>
      <c r="T45">
        <v>71025</v>
      </c>
      <c r="U45">
        <f t="shared" si="7"/>
        <v>293</v>
      </c>
      <c r="V45">
        <f t="shared" si="8"/>
        <v>0</v>
      </c>
      <c r="AG45" s="56"/>
    </row>
    <row r="46" spans="1:50">
      <c r="A46" t="s">
        <v>259</v>
      </c>
      <c r="R46" s="18">
        <v>45985</v>
      </c>
      <c r="S46">
        <v>71025</v>
      </c>
      <c r="T46">
        <v>71489</v>
      </c>
      <c r="U46">
        <f t="shared" si="7"/>
        <v>464</v>
      </c>
      <c r="V46" s="64">
        <f t="shared" si="8"/>
        <v>135</v>
      </c>
      <c r="AG46" s="56"/>
      <c r="AI46" s="22"/>
      <c r="AK46" s="18"/>
    </row>
    <row r="47" spans="1:50">
      <c r="R47" s="18">
        <v>45985</v>
      </c>
      <c r="S47">
        <v>71624</v>
      </c>
      <c r="T47">
        <v>71780</v>
      </c>
      <c r="U47">
        <f t="shared" si="7"/>
        <v>156</v>
      </c>
      <c r="V47">
        <f t="shared" si="8"/>
        <v>0</v>
      </c>
      <c r="AL47" s="50"/>
      <c r="AM47" s="22"/>
    </row>
    <row r="48" spans="1:50">
      <c r="R48" s="18">
        <v>45986</v>
      </c>
      <c r="S48">
        <v>71780</v>
      </c>
      <c r="T48">
        <v>72009</v>
      </c>
      <c r="U48">
        <f t="shared" si="7"/>
        <v>229</v>
      </c>
      <c r="V48">
        <f t="shared" si="8"/>
        <v>0</v>
      </c>
    </row>
    <row r="49" spans="18:25">
      <c r="R49" s="18">
        <v>45987</v>
      </c>
      <c r="S49">
        <v>72009</v>
      </c>
      <c r="T49">
        <v>72391</v>
      </c>
      <c r="U49">
        <f t="shared" si="7"/>
        <v>382</v>
      </c>
      <c r="V49">
        <f t="shared" si="8"/>
        <v>0</v>
      </c>
    </row>
    <row r="50" spans="18:25">
      <c r="R50" s="18">
        <v>45988</v>
      </c>
      <c r="S50">
        <v>72391</v>
      </c>
      <c r="T50">
        <v>72391</v>
      </c>
      <c r="U50">
        <f t="shared" si="7"/>
        <v>0</v>
      </c>
      <c r="V50" s="64">
        <f t="shared" si="8"/>
        <v>135</v>
      </c>
      <c r="Y50" t="s">
        <v>260</v>
      </c>
    </row>
    <row r="51" spans="18:25">
      <c r="R51" s="18">
        <v>45988</v>
      </c>
      <c r="S51">
        <v>72526</v>
      </c>
      <c r="T51">
        <v>72533</v>
      </c>
      <c r="U51">
        <f t="shared" si="7"/>
        <v>7</v>
      </c>
      <c r="V51">
        <f t="shared" si="8"/>
        <v>0</v>
      </c>
    </row>
    <row r="52" spans="18:25">
      <c r="R52" s="18">
        <v>45989</v>
      </c>
      <c r="S52">
        <v>72533</v>
      </c>
      <c r="T52">
        <v>72964</v>
      </c>
      <c r="U52">
        <f t="shared" si="7"/>
        <v>431</v>
      </c>
      <c r="V52">
        <f t="shared" si="8"/>
        <v>0</v>
      </c>
      <c r="Y52" t="s">
        <v>261</v>
      </c>
    </row>
    <row r="53" spans="18:25">
      <c r="R53" s="18">
        <v>45990</v>
      </c>
      <c r="S53">
        <v>72964</v>
      </c>
      <c r="T53">
        <v>73291</v>
      </c>
      <c r="U53">
        <f t="shared" si="7"/>
        <v>327</v>
      </c>
      <c r="V53">
        <f t="shared" si="8"/>
        <v>0</v>
      </c>
    </row>
    <row r="54" spans="18:25">
      <c r="R54" s="18">
        <v>45991</v>
      </c>
      <c r="S54">
        <v>73291</v>
      </c>
      <c r="T54">
        <v>73291</v>
      </c>
      <c r="U54">
        <f t="shared" si="7"/>
        <v>0</v>
      </c>
      <c r="V54">
        <f t="shared" si="8"/>
        <v>-73291</v>
      </c>
    </row>
  </sheetData>
  <protectedRanges>
    <protectedRange sqref="R2:S3 R10:T54" name="Range1_2"/>
    <protectedRange sqref="X10:X11 X13:X21 X23:X32 X34 X36:X52" name="Range3"/>
    <protectedRange sqref="X12" name="Range3_1"/>
  </protectedRanges>
  <mergeCells count="10">
    <mergeCell ref="A2:O2"/>
    <mergeCell ref="R5:V5"/>
    <mergeCell ref="R6:V6"/>
    <mergeCell ref="R8:U8"/>
    <mergeCell ref="K15:M15"/>
    <mergeCell ref="M19:N19"/>
    <mergeCell ref="M20:N20"/>
    <mergeCell ref="A22:O22"/>
    <mergeCell ref="A33:O33"/>
    <mergeCell ref="I35:O35"/>
  </mergeCells>
  <pageMargins left="0.7" right="0.7" top="0.75" bottom="0.75" header="0.3" footer="0.3"/>
  <pageSetup paperSize="8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BC205E2C9964B94DB29D7418EFB24" ma:contentTypeVersion="14" ma:contentTypeDescription="Create a new document." ma:contentTypeScope="" ma:versionID="2305953ed3cc258acc4269a58b003446">
  <xsd:schema xmlns:xsd="http://www.w3.org/2001/XMLSchema" xmlns:xs="http://www.w3.org/2001/XMLSchema" xmlns:p="http://schemas.microsoft.com/office/2006/metadata/properties" xmlns:ns2="931b9d6b-5233-481b-a986-f8b738c1ab33" xmlns:ns3="3cb4c1d3-651a-4c56-a55b-798bcaf77361" targetNamespace="http://schemas.microsoft.com/office/2006/metadata/properties" ma:root="true" ma:fieldsID="09410b0e3521d21be194bd8d3f46e011" ns2:_="" ns3:_="">
    <xsd:import namespace="931b9d6b-5233-481b-a986-f8b738c1ab33"/>
    <xsd:import namespace="3cb4c1d3-651a-4c56-a55b-798bcaf773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b9d6b-5233-481b-a986-f8b738c1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8a02e2-3bc9-4581-b444-ddfa0db99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4c1d3-651a-4c56-a55b-798bcaf773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fc8e3d-c782-4b47-b830-c9d6833c6076}" ma:internalName="TaxCatchAll" ma:showField="CatchAllData" ma:web="3cb4c1d3-651a-4c56-a55b-798bcaf773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1b9d6b-5233-481b-a986-f8b738c1ab33">
      <Terms xmlns="http://schemas.microsoft.com/office/infopath/2007/PartnerControls"/>
    </lcf76f155ced4ddcb4097134ff3c332f>
    <TaxCatchAll xmlns="3cb4c1d3-651a-4c56-a55b-798bcaf77361" xsi:nil="true"/>
  </documentManagement>
</p:properties>
</file>

<file path=customXml/itemProps1.xml><?xml version="1.0" encoding="utf-8"?>
<ds:datastoreItem xmlns:ds="http://schemas.openxmlformats.org/officeDocument/2006/customXml" ds:itemID="{6B495B82-EA83-4D28-A897-E83BCB94778D}"/>
</file>

<file path=customXml/itemProps2.xml><?xml version="1.0" encoding="utf-8"?>
<ds:datastoreItem xmlns:ds="http://schemas.openxmlformats.org/officeDocument/2006/customXml" ds:itemID="{B6920744-9C5F-41FA-B99C-785398F4676E}"/>
</file>

<file path=customXml/itemProps3.xml><?xml version="1.0" encoding="utf-8"?>
<ds:datastoreItem xmlns:ds="http://schemas.openxmlformats.org/officeDocument/2006/customXml" ds:itemID="{ECC4AE52-6605-4D8B-BB41-CBC3144E2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Krock Singh</dc:creator>
  <cp:keywords/>
  <dc:description/>
  <cp:lastModifiedBy>Prabhjot Singh</cp:lastModifiedBy>
  <cp:revision/>
  <dcterms:created xsi:type="dcterms:W3CDTF">2022-01-06T20:37:34Z</dcterms:created>
  <dcterms:modified xsi:type="dcterms:W3CDTF">2026-02-23T17:01:50Z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0x010100C39BC205E2C9964B94DB29D7418EFB24</vt:lpwstr>
  </property>
  <property fmtid="{D5CDD505-2E9C-101B-9397-08002B2CF9AE}" pid="3" name="Order">
    <vt:r8>380500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